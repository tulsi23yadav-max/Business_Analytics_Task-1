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lsi\Downloads\"/>
    </mc:Choice>
  </mc:AlternateContent>
  <bookViews>
    <workbookView xWindow="0" yWindow="0" windowWidth="23040" windowHeight="8976" activeTab="3"/>
  </bookViews>
  <sheets>
    <sheet name="Piovt-1" sheetId="2" r:id="rId1"/>
    <sheet name="Pivot-2" sheetId="3" r:id="rId2"/>
    <sheet name="Pivot-3" sheetId="5" r:id="rId3"/>
    <sheet name="SalesData" sheetId="1" r:id="rId4"/>
  </sheets>
  <definedNames>
    <definedName name="_xlnm._FilterDatabase" localSheetId="3" hidden="1">SalesData!$A$1:$H$501</definedName>
  </definedNames>
  <calcPr calcId="152511"/>
  <pivotCaches>
    <pivotCache cacheId="5" r:id="rId5"/>
    <pivotCache cacheId="8" r:id="rId6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</calcChain>
</file>

<file path=xl/sharedStrings.xml><?xml version="1.0" encoding="utf-8"?>
<sst xmlns="http://schemas.openxmlformats.org/spreadsheetml/2006/main" count="2546" uniqueCount="823">
  <si>
    <t>Order_ID</t>
  </si>
  <si>
    <t>Order_Date</t>
  </si>
  <si>
    <t>Region</t>
  </si>
  <si>
    <t>Product</t>
  </si>
  <si>
    <t>Category</t>
  </si>
  <si>
    <t>Sales_Amount</t>
  </si>
  <si>
    <t>Profit</t>
  </si>
  <si>
    <t>Quantity</t>
  </si>
  <si>
    <t>ORD1002</t>
  </si>
  <si>
    <t>2025-03-08</t>
  </si>
  <si>
    <t>West</t>
  </si>
  <si>
    <t>Notebook</t>
  </si>
  <si>
    <t>Office</t>
  </si>
  <si>
    <t>ORD1003</t>
  </si>
  <si>
    <t>2025-06-17</t>
  </si>
  <si>
    <t>South</t>
  </si>
  <si>
    <t>Laptop</t>
  </si>
  <si>
    <t>Electronics</t>
  </si>
  <si>
    <t>ORD1004</t>
  </si>
  <si>
    <t>2025-05-17</t>
  </si>
  <si>
    <t>Pen</t>
  </si>
  <si>
    <t>ORD1005</t>
  </si>
  <si>
    <t>2025-12-09</t>
  </si>
  <si>
    <t>ORD1006</t>
  </si>
  <si>
    <t>East</t>
  </si>
  <si>
    <t>ORD1007</t>
  </si>
  <si>
    <t>2025-02-02</t>
  </si>
  <si>
    <t>Printer</t>
  </si>
  <si>
    <t>ORD1008</t>
  </si>
  <si>
    <t>2025-06-13</t>
  </si>
  <si>
    <t>ORD1009</t>
  </si>
  <si>
    <t>2025-11-26</t>
  </si>
  <si>
    <t>ORD1010</t>
  </si>
  <si>
    <t>2025-02-23</t>
  </si>
  <si>
    <t>North</t>
  </si>
  <si>
    <t>ORD1011</t>
  </si>
  <si>
    <t>2025-03-31</t>
  </si>
  <si>
    <t>Phone</t>
  </si>
  <si>
    <t>ORD1012</t>
  </si>
  <si>
    <t>2025-02-19</t>
  </si>
  <si>
    <t>Table</t>
  </si>
  <si>
    <t>Furniture</t>
  </si>
  <si>
    <t>ORD1013</t>
  </si>
  <si>
    <t>2025-02-01</t>
  </si>
  <si>
    <t>ORD1014</t>
  </si>
  <si>
    <t>2025-12-03</t>
  </si>
  <si>
    <t>Chair</t>
  </si>
  <si>
    <t>ORD1015</t>
  </si>
  <si>
    <t>2025-02-15</t>
  </si>
  <si>
    <t>ORD1016</t>
  </si>
  <si>
    <t>2025-08-06</t>
  </si>
  <si>
    <t>ORD1017</t>
  </si>
  <si>
    <t>2025-05-24</t>
  </si>
  <si>
    <t>ORD1018</t>
  </si>
  <si>
    <t>2025-02-17</t>
  </si>
  <si>
    <t>ORD1019</t>
  </si>
  <si>
    <t>2025-04-15</t>
  </si>
  <si>
    <t>ORD1020</t>
  </si>
  <si>
    <t>2025-08-19</t>
  </si>
  <si>
    <t>ORD1021</t>
  </si>
  <si>
    <t>2025-11-29</t>
  </si>
  <si>
    <t>ORD1022</t>
  </si>
  <si>
    <t>2025-08-15</t>
  </si>
  <si>
    <t>ORD1023</t>
  </si>
  <si>
    <t>2025-07-12</t>
  </si>
  <si>
    <t>ORD1024</t>
  </si>
  <si>
    <t>2025-08-07</t>
  </si>
  <si>
    <t>ORD1025</t>
  </si>
  <si>
    <t>ORD1026</t>
  </si>
  <si>
    <t>2025-12-15</t>
  </si>
  <si>
    <t>ORD1027</t>
  </si>
  <si>
    <t>2025-11-06</t>
  </si>
  <si>
    <t>ORD1028</t>
  </si>
  <si>
    <t>2025-12-27</t>
  </si>
  <si>
    <t>ORD1029</t>
  </si>
  <si>
    <t>2025-06-28</t>
  </si>
  <si>
    <t>ORD1030</t>
  </si>
  <si>
    <t>2025-08-09</t>
  </si>
  <si>
    <t>ORD1031</t>
  </si>
  <si>
    <t>2025-07-14</t>
  </si>
  <si>
    <t>ORD1032</t>
  </si>
  <si>
    <t>2025-10-23</t>
  </si>
  <si>
    <t>ORD1033</t>
  </si>
  <si>
    <t>2025-04-20</t>
  </si>
  <si>
    <t>ORD1034</t>
  </si>
  <si>
    <t>2025-11-03</t>
  </si>
  <si>
    <t>ORD1035</t>
  </si>
  <si>
    <t>ORD1036</t>
  </si>
  <si>
    <t>2025-02-25</t>
  </si>
  <si>
    <t>ORD1037</t>
  </si>
  <si>
    <t>2025-08-24</t>
  </si>
  <si>
    <t>ORD1038</t>
  </si>
  <si>
    <t>2025-09-19</t>
  </si>
  <si>
    <t>ORD1039</t>
  </si>
  <si>
    <t>ORD1040</t>
  </si>
  <si>
    <t>Monitor</t>
  </si>
  <si>
    <t>ORD1041</t>
  </si>
  <si>
    <t>2025-05-25</t>
  </si>
  <si>
    <t>ORD1042</t>
  </si>
  <si>
    <t>2025-08-13</t>
  </si>
  <si>
    <t>ORD1043</t>
  </si>
  <si>
    <t>2025-03-23</t>
  </si>
  <si>
    <t>ORD1044</t>
  </si>
  <si>
    <t>2025-01-17</t>
  </si>
  <si>
    <t>ORD1045</t>
  </si>
  <si>
    <t>2025-03-18</t>
  </si>
  <si>
    <t>ORD1046</t>
  </si>
  <si>
    <t>2025-06-05</t>
  </si>
  <si>
    <t>ORD1047</t>
  </si>
  <si>
    <t>2025-09-08</t>
  </si>
  <si>
    <t>ORD1048</t>
  </si>
  <si>
    <t>2025-09-23</t>
  </si>
  <si>
    <t>ORD1049</t>
  </si>
  <si>
    <t>2025-12-05</t>
  </si>
  <si>
    <t>ORD1050</t>
  </si>
  <si>
    <t>2025-12-07</t>
  </si>
  <si>
    <t>ORD1051</t>
  </si>
  <si>
    <t>2025-03-04</t>
  </si>
  <si>
    <t>ORD1052</t>
  </si>
  <si>
    <t>2025-03-14</t>
  </si>
  <si>
    <t>ORD1053</t>
  </si>
  <si>
    <t>2025-08-26</t>
  </si>
  <si>
    <t>ORD1054</t>
  </si>
  <si>
    <t>2025-02-14</t>
  </si>
  <si>
    <t>ORD1055</t>
  </si>
  <si>
    <t>2025-03-28</t>
  </si>
  <si>
    <t>ORD1056</t>
  </si>
  <si>
    <t>2025-06-21</t>
  </si>
  <si>
    <t>ORD1057</t>
  </si>
  <si>
    <t>2025-09-18</t>
  </si>
  <si>
    <t>ORD1058</t>
  </si>
  <si>
    <t>2025-11-12</t>
  </si>
  <si>
    <t>ORD1059</t>
  </si>
  <si>
    <t>2025-05-16</t>
  </si>
  <si>
    <t>ORD1060</t>
  </si>
  <si>
    <t>2025-11-14</t>
  </si>
  <si>
    <t>ORD1061</t>
  </si>
  <si>
    <t>ORD1062</t>
  </si>
  <si>
    <t>2025-05-10</t>
  </si>
  <si>
    <t>ORD1063</t>
  </si>
  <si>
    <t>2025-05-29</t>
  </si>
  <si>
    <t>ORD1064</t>
  </si>
  <si>
    <t>ORD1065</t>
  </si>
  <si>
    <t>2025-09-30</t>
  </si>
  <si>
    <t>ORD1066</t>
  </si>
  <si>
    <t>2025-07-29</t>
  </si>
  <si>
    <t>ORD1067</t>
  </si>
  <si>
    <t>2025-12-01</t>
  </si>
  <si>
    <t>ORD1068</t>
  </si>
  <si>
    <t>2025-04-24</t>
  </si>
  <si>
    <t>ORD1069</t>
  </si>
  <si>
    <t>2025-08-22</t>
  </si>
  <si>
    <t>ORD1070</t>
  </si>
  <si>
    <t>2025-07-23</t>
  </si>
  <si>
    <t>ORD1071</t>
  </si>
  <si>
    <t>2025-01-16</t>
  </si>
  <si>
    <t>ORD1072</t>
  </si>
  <si>
    <t>2025-08-04</t>
  </si>
  <si>
    <t>ORD1073</t>
  </si>
  <si>
    <t>2025-10-12</t>
  </si>
  <si>
    <t>ORD1074</t>
  </si>
  <si>
    <t>2025-05-31</t>
  </si>
  <si>
    <t>ORD1075</t>
  </si>
  <si>
    <t>2025-09-22</t>
  </si>
  <si>
    <t>ORD1076</t>
  </si>
  <si>
    <t>ORD1077</t>
  </si>
  <si>
    <t>ORD1078</t>
  </si>
  <si>
    <t>2025-04-11</t>
  </si>
  <si>
    <t>ORD1079</t>
  </si>
  <si>
    <t>2025-02-13</t>
  </si>
  <si>
    <t>ORD1080</t>
  </si>
  <si>
    <t>2025-05-19</t>
  </si>
  <si>
    <t>ORD1081</t>
  </si>
  <si>
    <t>2025-11-15</t>
  </si>
  <si>
    <t>ORD1082</t>
  </si>
  <si>
    <t>2025-05-15</t>
  </si>
  <si>
    <t>ORD1083</t>
  </si>
  <si>
    <t>2025-06-26</t>
  </si>
  <si>
    <t>ORD1084</t>
  </si>
  <si>
    <t>ORD1085</t>
  </si>
  <si>
    <t>2025-02-16</t>
  </si>
  <si>
    <t>ORD1086</t>
  </si>
  <si>
    <t>2025-07-04</t>
  </si>
  <si>
    <t>ORD1087</t>
  </si>
  <si>
    <t>2025-02-22</t>
  </si>
  <si>
    <t>ORD1088</t>
  </si>
  <si>
    <t>2025-08-18</t>
  </si>
  <si>
    <t>ORD1089</t>
  </si>
  <si>
    <t>ORD1090</t>
  </si>
  <si>
    <t>2025-06-24</t>
  </si>
  <si>
    <t>ORD1091</t>
  </si>
  <si>
    <t>2025-07-03</t>
  </si>
  <si>
    <t>ORD1092</t>
  </si>
  <si>
    <t>ORD1093</t>
  </si>
  <si>
    <t>2025-11-30</t>
  </si>
  <si>
    <t>ORD1094</t>
  </si>
  <si>
    <t>2025-09-28</t>
  </si>
  <si>
    <t>ORD1095</t>
  </si>
  <si>
    <t>ORD1096</t>
  </si>
  <si>
    <t>ORD1097</t>
  </si>
  <si>
    <t>2025-02-24</t>
  </si>
  <si>
    <t>ORD1098</t>
  </si>
  <si>
    <t>2025-09-04</t>
  </si>
  <si>
    <t>ORD1099</t>
  </si>
  <si>
    <t>2025-12-21</t>
  </si>
  <si>
    <t>ORD1100</t>
  </si>
  <si>
    <t>2025-10-11</t>
  </si>
  <si>
    <t>ORD1101</t>
  </si>
  <si>
    <t>2025-10-07</t>
  </si>
  <si>
    <t>ORD1102</t>
  </si>
  <si>
    <t>ORD1103</t>
  </si>
  <si>
    <t>2025-11-09</t>
  </si>
  <si>
    <t>ORD1104</t>
  </si>
  <si>
    <t>2025-06-30</t>
  </si>
  <si>
    <t>ORD1105</t>
  </si>
  <si>
    <t>2025-06-06</t>
  </si>
  <si>
    <t>ORD1106</t>
  </si>
  <si>
    <t>ORD1107</t>
  </si>
  <si>
    <t>ORD1108</t>
  </si>
  <si>
    <t>2025-06-14</t>
  </si>
  <si>
    <t>ORD1109</t>
  </si>
  <si>
    <t>2025-05-06</t>
  </si>
  <si>
    <t>ORD1110</t>
  </si>
  <si>
    <t>ORD1111</t>
  </si>
  <si>
    <t>2025-06-18</t>
  </si>
  <si>
    <t>ORD1112</t>
  </si>
  <si>
    <t>2025-03-16</t>
  </si>
  <si>
    <t>ORD1113</t>
  </si>
  <si>
    <t>ORD1114</t>
  </si>
  <si>
    <t>ORD1115</t>
  </si>
  <si>
    <t>ORD1116</t>
  </si>
  <si>
    <t>2025-04-22</t>
  </si>
  <si>
    <t>ORD1117</t>
  </si>
  <si>
    <t>2025-08-21</t>
  </si>
  <si>
    <t>ORD1118</t>
  </si>
  <si>
    <t>2025-09-12</t>
  </si>
  <si>
    <t>ORD1119</t>
  </si>
  <si>
    <t>2025-09-15</t>
  </si>
  <si>
    <t>ORD1120</t>
  </si>
  <si>
    <t>2025-08-02</t>
  </si>
  <si>
    <t>ORD1121</t>
  </si>
  <si>
    <t>2025-03-30</t>
  </si>
  <si>
    <t>ORD1122</t>
  </si>
  <si>
    <t>ORD1123</t>
  </si>
  <si>
    <t>2025-10-20</t>
  </si>
  <si>
    <t>ORD1124</t>
  </si>
  <si>
    <t>2025-01-08</t>
  </si>
  <si>
    <t>ORD1125</t>
  </si>
  <si>
    <t>2025-07-19</t>
  </si>
  <si>
    <t>ORD1126</t>
  </si>
  <si>
    <t>ORD1127</t>
  </si>
  <si>
    <t>ORD1128</t>
  </si>
  <si>
    <t>2025-02-06</t>
  </si>
  <si>
    <t>ORD1129</t>
  </si>
  <si>
    <t>2025-05-13</t>
  </si>
  <si>
    <t>ORD1130</t>
  </si>
  <si>
    <t>2025-09-21</t>
  </si>
  <si>
    <t>ORD1131</t>
  </si>
  <si>
    <t>2025-07-27</t>
  </si>
  <si>
    <t>ORD1132</t>
  </si>
  <si>
    <t>2025-10-02</t>
  </si>
  <si>
    <t>ORD1133</t>
  </si>
  <si>
    <t>2025-07-30</t>
  </si>
  <si>
    <t>ORD1134</t>
  </si>
  <si>
    <t>2025-06-15</t>
  </si>
  <si>
    <t>ORD1135</t>
  </si>
  <si>
    <t>ORD1136</t>
  </si>
  <si>
    <t>2025-01-03</t>
  </si>
  <si>
    <t>ORD1137</t>
  </si>
  <si>
    <t>2025-06-07</t>
  </si>
  <si>
    <t>ORD1138</t>
  </si>
  <si>
    <t>ORD1139</t>
  </si>
  <si>
    <t>2025-12-06</t>
  </si>
  <si>
    <t>ORD1140</t>
  </si>
  <si>
    <t>2025-12-23</t>
  </si>
  <si>
    <t>ORD1141</t>
  </si>
  <si>
    <t>2025-08-30</t>
  </si>
  <si>
    <t>ORD1142</t>
  </si>
  <si>
    <t>2025-05-23</t>
  </si>
  <si>
    <t>ORD1143</t>
  </si>
  <si>
    <t>2025-09-25</t>
  </si>
  <si>
    <t>ORD1144</t>
  </si>
  <si>
    <t>ORD1145</t>
  </si>
  <si>
    <t>2025-12-31</t>
  </si>
  <si>
    <t>ORD1146</t>
  </si>
  <si>
    <t>ORD1147</t>
  </si>
  <si>
    <t>ORD1148</t>
  </si>
  <si>
    <t>2025-06-09</t>
  </si>
  <si>
    <t>ORD1149</t>
  </si>
  <si>
    <t>2025-07-15</t>
  </si>
  <si>
    <t>ORD1150</t>
  </si>
  <si>
    <t>2025-11-28</t>
  </si>
  <si>
    <t>ORD1151</t>
  </si>
  <si>
    <t>2025-03-10</t>
  </si>
  <si>
    <t>ORD1152</t>
  </si>
  <si>
    <t>2025-11-25</t>
  </si>
  <si>
    <t>ORD1153</t>
  </si>
  <si>
    <t>2025-07-26</t>
  </si>
  <si>
    <t>ORD1154</t>
  </si>
  <si>
    <t>2025-11-24</t>
  </si>
  <si>
    <t>ORD1155</t>
  </si>
  <si>
    <t>2025-09-27</t>
  </si>
  <si>
    <t>ORD1156</t>
  </si>
  <si>
    <t>ORD1157</t>
  </si>
  <si>
    <t>2025-07-07</t>
  </si>
  <si>
    <t>ORD1158</t>
  </si>
  <si>
    <t>2025-10-25</t>
  </si>
  <si>
    <t>ORD1159</t>
  </si>
  <si>
    <t>2025-02-20</t>
  </si>
  <si>
    <t>ORD1160</t>
  </si>
  <si>
    <t>2025-04-25</t>
  </si>
  <si>
    <t>ORD1161</t>
  </si>
  <si>
    <t>ORD1162</t>
  </si>
  <si>
    <t>ORD1163</t>
  </si>
  <si>
    <t>2025-10-24</t>
  </si>
  <si>
    <t>ORD1164</t>
  </si>
  <si>
    <t>2025-12-25</t>
  </si>
  <si>
    <t>ORD1165</t>
  </si>
  <si>
    <t>ORD1166</t>
  </si>
  <si>
    <t>2025-09-01</t>
  </si>
  <si>
    <t>ORD1167</t>
  </si>
  <si>
    <t>2025-06-08</t>
  </si>
  <si>
    <t>ORD1168</t>
  </si>
  <si>
    <t>2025-03-24</t>
  </si>
  <si>
    <t>ORD1169</t>
  </si>
  <si>
    <t>2025-08-31</t>
  </si>
  <si>
    <t>ORD1170</t>
  </si>
  <si>
    <t>ORD1171</t>
  </si>
  <si>
    <t>ORD1172</t>
  </si>
  <si>
    <t>2025-01-06</t>
  </si>
  <si>
    <t>ORD1173</t>
  </si>
  <si>
    <t>ORD1174</t>
  </si>
  <si>
    <t>ORD1175</t>
  </si>
  <si>
    <t>2025-01-18</t>
  </si>
  <si>
    <t>ORD1176</t>
  </si>
  <si>
    <t>2025-01-26</t>
  </si>
  <si>
    <t>ORD1177</t>
  </si>
  <si>
    <t>2025-07-06</t>
  </si>
  <si>
    <t>ORD1178</t>
  </si>
  <si>
    <t>2025-09-07</t>
  </si>
  <si>
    <t>ORD1179</t>
  </si>
  <si>
    <t>ORD1180</t>
  </si>
  <si>
    <t>2025-03-11</t>
  </si>
  <si>
    <t>ORD1181</t>
  </si>
  <si>
    <t>2025-04-13</t>
  </si>
  <si>
    <t>ORD1182</t>
  </si>
  <si>
    <t>2025-04-30</t>
  </si>
  <si>
    <t>ORD1183</t>
  </si>
  <si>
    <t>2025-09-06</t>
  </si>
  <si>
    <t>ORD1184</t>
  </si>
  <si>
    <t>2025-04-01</t>
  </si>
  <si>
    <t>ORD1185</t>
  </si>
  <si>
    <t>ORD1186</t>
  </si>
  <si>
    <t>ORD1187</t>
  </si>
  <si>
    <t>2025-05-04</t>
  </si>
  <si>
    <t>ORD1188</t>
  </si>
  <si>
    <t>2025-11-04</t>
  </si>
  <si>
    <t>ORD1189</t>
  </si>
  <si>
    <t>ORD1190</t>
  </si>
  <si>
    <t>2025-07-02</t>
  </si>
  <si>
    <t>ORD1191</t>
  </si>
  <si>
    <t>2025-12-13</t>
  </si>
  <si>
    <t>ORD1192</t>
  </si>
  <si>
    <t>2025-03-29</t>
  </si>
  <si>
    <t>ORD1193</t>
  </si>
  <si>
    <t>2025-04-23</t>
  </si>
  <si>
    <t>ORD1194</t>
  </si>
  <si>
    <t>2025-10-03</t>
  </si>
  <si>
    <t>ORD1195</t>
  </si>
  <si>
    <t>2025-10-01</t>
  </si>
  <si>
    <t>ORD1196</t>
  </si>
  <si>
    <t>2025-03-15</t>
  </si>
  <si>
    <t>ORD1197</t>
  </si>
  <si>
    <t>ORD1198</t>
  </si>
  <si>
    <t>ORD1199</t>
  </si>
  <si>
    <t>2025-09-14</t>
  </si>
  <si>
    <t>ORD1200</t>
  </si>
  <si>
    <t>ORD1201</t>
  </si>
  <si>
    <t>ORD1202</t>
  </si>
  <si>
    <t>2025-07-08</t>
  </si>
  <si>
    <t>ORD1203</t>
  </si>
  <si>
    <t>ORD1204</t>
  </si>
  <si>
    <t>ORD1205</t>
  </si>
  <si>
    <t>ORD1206</t>
  </si>
  <si>
    <t>ORD1207</t>
  </si>
  <si>
    <t>ORD1208</t>
  </si>
  <si>
    <t>ORD1209</t>
  </si>
  <si>
    <t>2025-06-11</t>
  </si>
  <si>
    <t>ORD1210</t>
  </si>
  <si>
    <t>2025-12-28</t>
  </si>
  <si>
    <t>ORD1211</t>
  </si>
  <si>
    <t>ORD1212</t>
  </si>
  <si>
    <t>2025-12-19</t>
  </si>
  <si>
    <t>ORD1213</t>
  </si>
  <si>
    <t>ORD1214</t>
  </si>
  <si>
    <t>2025-01-19</t>
  </si>
  <si>
    <t>ORD1215</t>
  </si>
  <si>
    <t>2025-03-20</t>
  </si>
  <si>
    <t>ORD1216</t>
  </si>
  <si>
    <t>ORD1217</t>
  </si>
  <si>
    <t>ORD1218</t>
  </si>
  <si>
    <t>2025-11-17</t>
  </si>
  <si>
    <t>ORD1219</t>
  </si>
  <si>
    <t>2025-06-16</t>
  </si>
  <si>
    <t>ORD1220</t>
  </si>
  <si>
    <t>ORD1221</t>
  </si>
  <si>
    <t>2025-01-31</t>
  </si>
  <si>
    <t>ORD1222</t>
  </si>
  <si>
    <t>2025-02-11</t>
  </si>
  <si>
    <t>ORD1223</t>
  </si>
  <si>
    <t>ORD1224</t>
  </si>
  <si>
    <t>ORD1225</t>
  </si>
  <si>
    <t>ORD1226</t>
  </si>
  <si>
    <t>2025-07-20</t>
  </si>
  <si>
    <t>ORD1227</t>
  </si>
  <si>
    <t>2025-01-10</t>
  </si>
  <si>
    <t>ORD1228</t>
  </si>
  <si>
    <t>2025-03-19</t>
  </si>
  <si>
    <t>ORD1229</t>
  </si>
  <si>
    <t>2025-07-25</t>
  </si>
  <si>
    <t>ORD1230</t>
  </si>
  <si>
    <t>2025-10-04</t>
  </si>
  <si>
    <t>ORD1231</t>
  </si>
  <si>
    <t>2025-02-04</t>
  </si>
  <si>
    <t>ORD1232</t>
  </si>
  <si>
    <t>2025-01-09</t>
  </si>
  <si>
    <t>ORD1233</t>
  </si>
  <si>
    <t>2025-07-22</t>
  </si>
  <si>
    <t>ORD1234</t>
  </si>
  <si>
    <t>2025-01-13</t>
  </si>
  <si>
    <t>ORD1235</t>
  </si>
  <si>
    <t>2025-03-06</t>
  </si>
  <si>
    <t>ORD1236</t>
  </si>
  <si>
    <t>ORD1237</t>
  </si>
  <si>
    <t>2025-10-14</t>
  </si>
  <si>
    <t>ORD1238</t>
  </si>
  <si>
    <t>ORD1239</t>
  </si>
  <si>
    <t>ORD1240</t>
  </si>
  <si>
    <t>ORD1241</t>
  </si>
  <si>
    <t>2025-03-26</t>
  </si>
  <si>
    <t>ORD1242</t>
  </si>
  <si>
    <t>2025-01-21</t>
  </si>
  <si>
    <t>ORD1243</t>
  </si>
  <si>
    <t>ORD1244</t>
  </si>
  <si>
    <t>ORD1245</t>
  </si>
  <si>
    <t>2025-11-02</t>
  </si>
  <si>
    <t>ORD1246</t>
  </si>
  <si>
    <t>ORD1247</t>
  </si>
  <si>
    <t>2025-12-11</t>
  </si>
  <si>
    <t>ORD1248</t>
  </si>
  <si>
    <t>2025-08-29</t>
  </si>
  <si>
    <t>ORD1249</t>
  </si>
  <si>
    <t>2025-09-24</t>
  </si>
  <si>
    <t>ORD1250</t>
  </si>
  <si>
    <t>2025-06-10</t>
  </si>
  <si>
    <t>ORD1251</t>
  </si>
  <si>
    <t>ORD1252</t>
  </si>
  <si>
    <t>2025-09-13</t>
  </si>
  <si>
    <t>ORD1253</t>
  </si>
  <si>
    <t>ORD1254</t>
  </si>
  <si>
    <t>2025-03-22</t>
  </si>
  <si>
    <t>ORD1255</t>
  </si>
  <si>
    <t>ORD1256</t>
  </si>
  <si>
    <t>2025-10-10</t>
  </si>
  <si>
    <t>ORD1257</t>
  </si>
  <si>
    <t>2025-09-26</t>
  </si>
  <si>
    <t>ORD1258</t>
  </si>
  <si>
    <t>2025-11-13</t>
  </si>
  <si>
    <t>ORD1259</t>
  </si>
  <si>
    <t>2025-02-27</t>
  </si>
  <si>
    <t>ORD1260</t>
  </si>
  <si>
    <t>ORD1261</t>
  </si>
  <si>
    <t>ORD1262</t>
  </si>
  <si>
    <t>ORD1263</t>
  </si>
  <si>
    <t>ORD1264</t>
  </si>
  <si>
    <t>ORD1265</t>
  </si>
  <si>
    <t>2025-12-24</t>
  </si>
  <si>
    <t>ORD1266</t>
  </si>
  <si>
    <t>2025-07-11</t>
  </si>
  <si>
    <t>ORD1267</t>
  </si>
  <si>
    <t>2025-07-10</t>
  </si>
  <si>
    <t>ORD1268</t>
  </si>
  <si>
    <t>2025-06-27</t>
  </si>
  <si>
    <t>ORD1269</t>
  </si>
  <si>
    <t>2025-06-29</t>
  </si>
  <si>
    <t>ORD1270</t>
  </si>
  <si>
    <t>ORD1271</t>
  </si>
  <si>
    <t>2025-07-31</t>
  </si>
  <si>
    <t>ORD1272</t>
  </si>
  <si>
    <t>2025-03-17</t>
  </si>
  <si>
    <t>ORD1273</t>
  </si>
  <si>
    <t>2025-10-26</t>
  </si>
  <si>
    <t>ORD1274</t>
  </si>
  <si>
    <t>2025-02-08</t>
  </si>
  <si>
    <t>ORD1275</t>
  </si>
  <si>
    <t>ORD1276</t>
  </si>
  <si>
    <t>ORD1277</t>
  </si>
  <si>
    <t>ORD1278</t>
  </si>
  <si>
    <t>ORD1279</t>
  </si>
  <si>
    <t>ORD1280</t>
  </si>
  <si>
    <t>ORD1281</t>
  </si>
  <si>
    <t>2025-08-23</t>
  </si>
  <si>
    <t>ORD1282</t>
  </si>
  <si>
    <t>2025-10-15</t>
  </si>
  <si>
    <t>ORD1283</t>
  </si>
  <si>
    <t>2025-02-18</t>
  </si>
  <si>
    <t>ORD1284</t>
  </si>
  <si>
    <t>ORD1285</t>
  </si>
  <si>
    <t>ORD1286</t>
  </si>
  <si>
    <t>ORD1287</t>
  </si>
  <si>
    <t>ORD1288</t>
  </si>
  <si>
    <t>2025-06-23</t>
  </si>
  <si>
    <t>ORD1289</t>
  </si>
  <si>
    <t>2025-03-27</t>
  </si>
  <si>
    <t>ORD1290</t>
  </si>
  <si>
    <t>2025-04-02</t>
  </si>
  <si>
    <t>ORD1291</t>
  </si>
  <si>
    <t>2025-01-22</t>
  </si>
  <si>
    <t>ORD1292</t>
  </si>
  <si>
    <t>2025-05-14</t>
  </si>
  <si>
    <t>ORD1293</t>
  </si>
  <si>
    <t>2025-10-27</t>
  </si>
  <si>
    <t>ORD1294</t>
  </si>
  <si>
    <t>ORD1295</t>
  </si>
  <si>
    <t>ORD1296</t>
  </si>
  <si>
    <t>2025-04-21</t>
  </si>
  <si>
    <t>ORD1297</t>
  </si>
  <si>
    <t>ORD1298</t>
  </si>
  <si>
    <t>2025-04-03</t>
  </si>
  <si>
    <t>ORD1299</t>
  </si>
  <si>
    <t>ORD1300</t>
  </si>
  <si>
    <t>ORD1301</t>
  </si>
  <si>
    <t>2025-09-17</t>
  </si>
  <si>
    <t>ORD1302</t>
  </si>
  <si>
    <t>ORD1303</t>
  </si>
  <si>
    <t>2025-12-17</t>
  </si>
  <si>
    <t>ORD1304</t>
  </si>
  <si>
    <t>ORD1305</t>
  </si>
  <si>
    <t>ORD1306</t>
  </si>
  <si>
    <t>ORD1307</t>
  </si>
  <si>
    <t>2025-02-03</t>
  </si>
  <si>
    <t>ORD1308</t>
  </si>
  <si>
    <t>2025-08-28</t>
  </si>
  <si>
    <t>ORD1309</t>
  </si>
  <si>
    <t>ORD1310</t>
  </si>
  <si>
    <t>ORD1311</t>
  </si>
  <si>
    <t>2025-11-18</t>
  </si>
  <si>
    <t>ORD1312</t>
  </si>
  <si>
    <t>2025-10-18</t>
  </si>
  <si>
    <t>ORD1313</t>
  </si>
  <si>
    <t>ORD1314</t>
  </si>
  <si>
    <t>2025-07-28</t>
  </si>
  <si>
    <t>ORD1315</t>
  </si>
  <si>
    <t>2025-07-05</t>
  </si>
  <si>
    <t>ORD1316</t>
  </si>
  <si>
    <t>ORD1317</t>
  </si>
  <si>
    <t>ORD1318</t>
  </si>
  <si>
    <t>ORD1319</t>
  </si>
  <si>
    <t>ORD1320</t>
  </si>
  <si>
    <t>2025-10-08</t>
  </si>
  <si>
    <t>ORD1321</t>
  </si>
  <si>
    <t>2025-05-09</t>
  </si>
  <si>
    <t>ORD1322</t>
  </si>
  <si>
    <t>2025-01-20</t>
  </si>
  <si>
    <t>ORD1323</t>
  </si>
  <si>
    <t>2025-10-16</t>
  </si>
  <si>
    <t>ORD1324</t>
  </si>
  <si>
    <t>ORD1325</t>
  </si>
  <si>
    <t>2025-07-21</t>
  </si>
  <si>
    <t>ORD1326</t>
  </si>
  <si>
    <t>ORD1327</t>
  </si>
  <si>
    <t>2025-02-07</t>
  </si>
  <si>
    <t>ORD1328</t>
  </si>
  <si>
    <t>ORD1329</t>
  </si>
  <si>
    <t>ORD1330</t>
  </si>
  <si>
    <t>2025-12-22</t>
  </si>
  <si>
    <t>ORD1331</t>
  </si>
  <si>
    <t>ORD1332</t>
  </si>
  <si>
    <t>ORD1333</t>
  </si>
  <si>
    <t>2025-02-21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</si>
  <si>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</si>
  <si>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</si>
  <si>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</si>
  <si>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</si>
  <si>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</si>
  <si>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</si>
  <si>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</si>
  <si>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</si>
  <si>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2025-06-12</t>
  </si>
  <si>
    <t>ORD1342</t>
  </si>
  <si>
    <t>ORD1343</t>
  </si>
  <si>
    <t>ORD1344</t>
  </si>
  <si>
    <t>2025-03-12</t>
  </si>
  <si>
    <t>ORD1345</t>
  </si>
  <si>
    <t>ORD1346</t>
  </si>
  <si>
    <t>ORD1347</t>
  </si>
  <si>
    <t>ORD1348</t>
  </si>
  <si>
    <t>2025-11-05</t>
  </si>
  <si>
    <t>ORD1349</t>
  </si>
  <si>
    <t>2025-06-22</t>
  </si>
  <si>
    <t>ORD1350</t>
  </si>
  <si>
    <t>ORD1351</t>
  </si>
  <si>
    <t>ORD1352</t>
  </si>
  <si>
    <t>ORD1353</t>
  </si>
  <si>
    <t>ORD1354</t>
  </si>
  <si>
    <t>ORD1355</t>
  </si>
  <si>
    <t>2025-06-02</t>
  </si>
  <si>
    <t>ORD1356</t>
  </si>
  <si>
    <t>ORD1357</t>
  </si>
  <si>
    <t>ORD1358</t>
  </si>
  <si>
    <t>2025-01-05</t>
  </si>
  <si>
    <t>ORD1359</t>
  </si>
  <si>
    <t>ORD1360</t>
  </si>
  <si>
    <t>ORD1361</t>
  </si>
  <si>
    <t>ORD1362</t>
  </si>
  <si>
    <t>ORD1363</t>
  </si>
  <si>
    <t>2025-04-26</t>
  </si>
  <si>
    <t>ORD1364</t>
  </si>
  <si>
    <t>ORD1365</t>
  </si>
  <si>
    <t>ORD1366</t>
  </si>
  <si>
    <t>2025-12-20</t>
  </si>
  <si>
    <t>ORD1367</t>
  </si>
  <si>
    <t>ORD1368</t>
  </si>
  <si>
    <t>ORD1369</t>
  </si>
  <si>
    <t>ORD1370</t>
  </si>
  <si>
    <t>2025-03-13</t>
  </si>
  <si>
    <t>ORD1371</t>
  </si>
  <si>
    <t>ORD1372</t>
  </si>
  <si>
    <t>ORD1373</t>
  </si>
  <si>
    <t>2025-08-01</t>
  </si>
  <si>
    <t>ORD1374</t>
  </si>
  <si>
    <t>2025-08-20</t>
  </si>
  <si>
    <t>ORD1375</t>
  </si>
  <si>
    <t>ORD1376</t>
  </si>
  <si>
    <t>ORD1377</t>
  </si>
  <si>
    <t>2025-08-17</t>
  </si>
  <si>
    <t>ORD1378</t>
  </si>
  <si>
    <t>ORD1379</t>
  </si>
  <si>
    <t>ORD1380</t>
  </si>
  <si>
    <t>ORD1381</t>
  </si>
  <si>
    <t>ORD1382</t>
  </si>
  <si>
    <t>2025-05-08</t>
  </si>
  <si>
    <t>ORD1383</t>
  </si>
  <si>
    <t>ORD1384</t>
  </si>
  <si>
    <t>ORD1385</t>
  </si>
  <si>
    <t>2025-08-12</t>
  </si>
  <si>
    <t>ORD1386</t>
  </si>
  <si>
    <t>ORD1387</t>
  </si>
  <si>
    <t>2025-10-17</t>
  </si>
  <si>
    <t>ORD1388</t>
  </si>
  <si>
    <t>2025-03-02</t>
  </si>
  <si>
    <t>ORD1389</t>
  </si>
  <si>
    <t>ORD1390</t>
  </si>
  <si>
    <t>ORD1391</t>
  </si>
  <si>
    <t>ORD1392</t>
  </si>
  <si>
    <t>2025-05-03</t>
  </si>
  <si>
    <t>ORD1393</t>
  </si>
  <si>
    <t>2025-05-28</t>
  </si>
  <si>
    <t>ORD1394</t>
  </si>
  <si>
    <t>ORD1395</t>
  </si>
  <si>
    <t>2025-04-07</t>
  </si>
  <si>
    <t>ORD1396</t>
  </si>
  <si>
    <t>2025-01-07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</si>
  <si>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</si>
  <si>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</si>
  <si>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</si>
  <si>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</si>
  <si>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</si>
  <si>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</si>
  <si>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</si>
  <si>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</si>
  <si>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2025-04-27</t>
  </si>
  <si>
    <t>ORD1405</t>
  </si>
  <si>
    <t>2025-01-27</t>
  </si>
  <si>
    <t>ORD1406</t>
  </si>
  <si>
    <t>2025-04-16</t>
  </si>
  <si>
    <t>ORD1407</t>
  </si>
  <si>
    <t>2025-06-03</t>
  </si>
  <si>
    <t>ORD1408</t>
  </si>
  <si>
    <t>2025-02-12</t>
  </si>
  <si>
    <t>ORD1409</t>
  </si>
  <si>
    <t>ORD1410</t>
  </si>
  <si>
    <t>2025-04-12</t>
  </si>
  <si>
    <t>ORD1411</t>
  </si>
  <si>
    <t>ORD1412</t>
  </si>
  <si>
    <t>ORD1413</t>
  </si>
  <si>
    <t>ORD1414</t>
  </si>
  <si>
    <t>ORD1415</t>
  </si>
  <si>
    <t>2025-04-05</t>
  </si>
  <si>
    <t>ORD1416</t>
  </si>
  <si>
    <t>ORD1417</t>
  </si>
  <si>
    <t>ORD1418</t>
  </si>
  <si>
    <t>ORD1419</t>
  </si>
  <si>
    <t>ORD1420</t>
  </si>
  <si>
    <t>ORD1421</t>
  </si>
  <si>
    <t>ORD1422</t>
  </si>
  <si>
    <t>2025-06-19</t>
  </si>
  <si>
    <t>ORD1423</t>
  </si>
  <si>
    <t>2025-01-01</t>
  </si>
  <si>
    <t>ORD1424</t>
  </si>
  <si>
    <t>ORD1425</t>
  </si>
  <si>
    <t>2025-07-16</t>
  </si>
  <si>
    <t>ORD1426</t>
  </si>
  <si>
    <t>ORD1427</t>
  </si>
  <si>
    <t>ORD1428</t>
  </si>
  <si>
    <t>2025-06-01</t>
  </si>
  <si>
    <t>ORD1429</t>
  </si>
  <si>
    <t>2025-11-20</t>
  </si>
  <si>
    <t>ORD1430</t>
  </si>
  <si>
    <t>ORD1431</t>
  </si>
  <si>
    <t>ORD1432</t>
  </si>
  <si>
    <t>ORD1433</t>
  </si>
  <si>
    <t>2025-12-08</t>
  </si>
  <si>
    <t>ORD1434</t>
  </si>
  <si>
    <t>2025-08-14</t>
  </si>
  <si>
    <t>ORD1435</t>
  </si>
  <si>
    <t>ORD1436</t>
  </si>
  <si>
    <t>2025-12-30</t>
  </si>
  <si>
    <t>ORD1437</t>
  </si>
  <si>
    <t>ORD1438</t>
  </si>
  <si>
    <t>ORD1439</t>
  </si>
  <si>
    <t>ORD1440</t>
  </si>
  <si>
    <t>ORD1441</t>
  </si>
  <si>
    <t>ORD1442</t>
  </si>
  <si>
    <t>2025-07-13</t>
  </si>
  <si>
    <t>ORD1443</t>
  </si>
  <si>
    <t>ORD1444</t>
  </si>
  <si>
    <t>ORD1445</t>
  </si>
  <si>
    <t>ORD1446</t>
  </si>
  <si>
    <t>2025-10-19</t>
  </si>
  <si>
    <t>ORD1447</t>
  </si>
  <si>
    <t>ORD1448</t>
  </si>
  <si>
    <t>ORD1449</t>
  </si>
  <si>
    <t>2025-04-14</t>
  </si>
  <si>
    <t>ORD1450</t>
  </si>
  <si>
    <t>ORD1451</t>
  </si>
  <si>
    <t>ORD1452</t>
  </si>
  <si>
    <t>2025-09-10</t>
  </si>
  <si>
    <t>ORD1453</t>
  </si>
  <si>
    <t>ORD1454</t>
  </si>
  <si>
    <t>2025-06-04</t>
  </si>
  <si>
    <t>ORD1455</t>
  </si>
  <si>
    <t>ORD1456</t>
  </si>
  <si>
    <t>2025-11-01</t>
  </si>
  <si>
    <t>ORD1457</t>
  </si>
  <si>
    <t>ORD1458</t>
  </si>
  <si>
    <t>ORD1459</t>
  </si>
  <si>
    <t>ORD1460</t>
  </si>
  <si>
    <t>2025-02-26</t>
  </si>
  <si>
    <t>ORD1461</t>
  </si>
  <si>
    <t>ORD1462</t>
  </si>
  <si>
    <t>ORD1463</t>
  </si>
  <si>
    <t>2025-04-06</t>
  </si>
  <si>
    <t>ORD1464</t>
  </si>
  <si>
    <t>2025-01-28</t>
  </si>
  <si>
    <t>ORD1465</t>
  </si>
  <si>
    <t>ORD1466</t>
  </si>
  <si>
    <t>ORD1467</t>
  </si>
  <si>
    <t>ORD1468</t>
  </si>
  <si>
    <t>ORD1469</t>
  </si>
  <si>
    <t>ORD1470</t>
  </si>
  <si>
    <t>2025-12-02</t>
  </si>
  <si>
    <t>ORD1471</t>
  </si>
  <si>
    <t>ORD1472</t>
  </si>
  <si>
    <t>2025-12-29</t>
  </si>
  <si>
    <t>ORD1473</t>
  </si>
  <si>
    <t>ORD1474</t>
  </si>
  <si>
    <t>2025-11-07</t>
  </si>
  <si>
    <t>ORD1475</t>
  </si>
  <si>
    <t>ORD1476</t>
  </si>
  <si>
    <t>2025-10-06</t>
  </si>
  <si>
    <t>ORD1477</t>
  </si>
  <si>
    <t>ORD1478</t>
  </si>
  <si>
    <t>ORD1479</t>
  </si>
  <si>
    <t>ORD1480</t>
  </si>
  <si>
    <t>2025-10-21</t>
  </si>
  <si>
    <t>ORD1481</t>
  </si>
  <si>
    <t>2025-10-05</t>
  </si>
  <si>
    <t>ORD1482</t>
  </si>
  <si>
    <t>ORD1483</t>
  </si>
  <si>
    <t>ORD1484</t>
  </si>
  <si>
    <t>ORD1485</t>
  </si>
  <si>
    <t>2025-08-25</t>
  </si>
  <si>
    <t>ORD1486</t>
  </si>
  <si>
    <t>ORD1487</t>
  </si>
  <si>
    <t>ORD1488</t>
  </si>
  <si>
    <t>2025-10-29</t>
  </si>
  <si>
    <t>ORD1489</t>
  </si>
  <si>
    <t>ORD1490</t>
  </si>
  <si>
    <t>ORD1491</t>
  </si>
  <si>
    <t>ORD1492</t>
  </si>
  <si>
    <t>ORD1493</t>
  </si>
  <si>
    <t>ORD1494</t>
  </si>
  <si>
    <t>ORD1495</t>
  </si>
  <si>
    <t>2025-03-07</t>
  </si>
  <si>
    <t>ORD1496</t>
  </si>
  <si>
    <t>ORD1497</t>
  </si>
  <si>
    <t>2025-05-18</t>
  </si>
  <si>
    <t>ORD1498</t>
  </si>
  <si>
    <t>ORD1499</t>
  </si>
  <si>
    <t>2025-08-08</t>
  </si>
  <si>
    <t>ORD1500</t>
  </si>
  <si>
    <t>ORD1501</t>
  </si>
  <si>
    <t>Profit Margin %</t>
  </si>
  <si>
    <t>Row Labels</t>
  </si>
  <si>
    <t>Grand Total</t>
  </si>
  <si>
    <t>Sum of Sales_Amount</t>
  </si>
  <si>
    <t>Sales By Region</t>
  </si>
  <si>
    <t>Sales By Product</t>
  </si>
  <si>
    <t>Month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</si>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</sst>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0" fillId="0" borderId="1" xfId="0" applyBorder="1"/>
    <xf numFmtId="166" fontId="0" fillId="0" borderId="1" xfId="0" applyNumberFormat="1" applyBorder="1"/>
    <xf numFmtId="2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2" borderId="0" xfId="0" applyFont="1" applyFill="1" applyAlignment="1">
      <alignment horizontal="left" indent="6"/>
    </xf>
    <xf numFmtId="0" fontId="1" fillId="2" borderId="0" xfId="0" applyFont="1" applyFill="1" applyAlignment="1">
      <alignment horizontal="left" vertical="center" indent="5"/>
    </xf>
    <xf numFmtId="0" fontId="2" fillId="2" borderId="2" xfId="0" applyFont="1" applyFill="1" applyBorder="1"/>
    <xf numFmtId="0" fontId="1" fillId="2" borderId="0" xfId="0" applyFont="1" applyFill="1" applyAlignment="1">
      <alignment horizontal="left" indent="4"/>
    </xf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lsi" refreshedDate="46226.11242662037" createdVersion="5" refreshedVersion="5" minRefreshableVersion="3" recordCount="500">
  <cacheSource type="worksheet">
    <worksheetSource ref="A1:I501" sheet="SalesData"/>
  </cacheSource>
  <cacheFields count="9">
    <cacheField name="Order_ID" numFmtId="0">
      <sharedItems/>
    </cacheField>
    <cacheField name="Order_Date" numFmtId="166">
      <sharedItems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8">
        <s v="Notebook"/>
        <s v="Laptop"/>
        <s v="Pen"/>
        <s v="Printer"/>
        <s v="Phone"/>
        <s v="Table"/>
        <s v="Chair"/>
        <s v="Monitor"/>
      </sharedItems>
    </cacheField>
    <cacheField name="Category" numFmtId="0">
      <sharedItems/>
    </cacheField>
    <cacheField name="Sales_Amount" numFmtId="0">
      <sharedItems containsSemiMixedTypes="0" containsString="0" containsNumber="1" minValue="125.23" maxValue="4992.49"/>
    </cacheField>
    <cacheField name="Profit" numFmtId="0">
      <sharedItems containsSemiMixedTypes="0" containsString="0" containsNumber="1" minValue="15.71" maxValue="1681.89"/>
    </cacheField>
    <cacheField name="Quantity" numFmtId="0">
      <sharedItems containsSemiMixedTypes="0" containsString="0" containsNumber="1" containsInteger="1" minValue="1" maxValue="10"/>
    </cacheField>
    <cacheField name="Profit Margin %" numFmtId="2">
      <sharedItems containsSemiMixedTypes="0" containsString="0" containsNumber="1" minValue="5.1835595930727084E-2" maxValue="0.34869894181805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ulsi" refreshedDate="46226.15216435185" createdVersion="5" refreshedVersion="5" minRefreshableVersion="3" recordCount="500">
  <cacheSource type="worksheet">
    <worksheetSource ref="A1:J501" sheet="SalesData"/>
  </cacheSource>
  <cacheFields count="10">
    <cacheField name="Order_ID" numFmtId="0">
      <sharedItems/>
    </cacheField>
    <cacheField name="Order_Date" numFmtId="166">
      <sharedItems/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Sales_Amount" numFmtId="0">
      <sharedItems containsSemiMixedTypes="0" containsString="0" containsNumber="1" minValue="125.23" maxValue="4992.49"/>
    </cacheField>
    <cacheField name="Profit" numFmtId="0">
      <sharedItems containsSemiMixedTypes="0" containsString="0" containsNumber="1" minValue="15.71" maxValue="1681.89"/>
    </cacheField>
    <cacheField name="Quantity" numFmtId="0">
      <sharedItems containsSemiMixedTypes="0" containsString="0" containsNumber="1" containsInteger="1" minValue="1" maxValue="10"/>
    </cacheField>
    <cacheField name="Profit Margin %" numFmtId="2">
      <sharedItems containsSemiMixedTypes="0" containsString="0" containsNumber="1" minValue="5.1835595930727084E-2" maxValue="0.3486989418180505"/>
    </cacheField>
    <cacheField name="Month" numFmtId="0">
      <sharedItems count="12">
        <s v="Mar-2025"/>
        <s v="Jun-2025"/>
        <s v="May-2025"/>
        <s v="Dec-2025"/>
        <s v="Feb-2025"/>
        <s v="Nov-2025"/>
        <s v="Aug-2025"/>
        <s v="Apr-2025"/>
        <s v="Jul-2025"/>
        <s v="Oct-2025"/>
        <s v="Sep-2025"/>
        <s v="Jan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1002"/>
    <s v="2025-03-08"/>
    <x v="0"/>
    <x v="0"/>
    <s v="Office"/>
    <n v="3758.11"/>
    <n v="720.77"/>
    <n v="1"/>
    <n v="0.19179055429457892"/>
  </r>
  <r>
    <s v="ORD1003"/>
    <s v="2025-06-17"/>
    <x v="1"/>
    <x v="1"/>
    <s v="Electronics"/>
    <n v="1646.62"/>
    <n v="360.72"/>
    <n v="1"/>
    <n v="0.21906693711967548"/>
  </r>
  <r>
    <s v="ORD1004"/>
    <s v="2025-05-17"/>
    <x v="0"/>
    <x v="2"/>
    <s v="Office"/>
    <n v="3284.99"/>
    <n v="478.83"/>
    <n v="6"/>
    <n v="0.14576300080061128"/>
  </r>
  <r>
    <s v="ORD1005"/>
    <s v="2025-12-09"/>
    <x v="1"/>
    <x v="0"/>
    <s v="Office"/>
    <n v="3340.12"/>
    <n v="612.34"/>
    <n v="5"/>
    <n v="0.18332874267990373"/>
  </r>
  <r>
    <s v="ORD1006"/>
    <s v="2025-03-08"/>
    <x v="2"/>
    <x v="1"/>
    <s v="Electronics"/>
    <n v="4688.07"/>
    <n v="382.95"/>
    <n v="8"/>
    <n v="8.1686066974255928E-2"/>
  </r>
  <r>
    <s v="ORD1007"/>
    <s v="2025-02-02"/>
    <x v="0"/>
    <x v="3"/>
    <s v="Office"/>
    <n v="916.6"/>
    <n v="105.69"/>
    <n v="4"/>
    <n v="0.11530656775038184"/>
  </r>
  <r>
    <s v="ORD1008"/>
    <s v="2025-06-13"/>
    <x v="0"/>
    <x v="2"/>
    <s v="Office"/>
    <n v="4860.28"/>
    <n v="1467.2"/>
    <n v="6"/>
    <n v="0.30187561210465241"/>
  </r>
  <r>
    <s v="ORD1009"/>
    <s v="2025-11-26"/>
    <x v="0"/>
    <x v="1"/>
    <s v="Electronics"/>
    <n v="1958.79"/>
    <n v="470.66"/>
    <n v="2"/>
    <n v="0.24028098979472023"/>
  </r>
  <r>
    <s v="ORD1010"/>
    <s v="2025-02-23"/>
    <x v="3"/>
    <x v="0"/>
    <s v="Office"/>
    <n v="3609.56"/>
    <n v="583.14"/>
    <n v="4"/>
    <n v="0.16155431686964616"/>
  </r>
  <r>
    <s v="ORD1011"/>
    <s v="2025-03-31"/>
    <x v="3"/>
    <x v="4"/>
    <s v="Electronics"/>
    <n v="865.22"/>
    <n v="119.19"/>
    <n v="2"/>
    <n v="0.1377568710848108"/>
  </r>
  <r>
    <s v="ORD1012"/>
    <s v="2025-02-19"/>
    <x v="3"/>
    <x v="5"/>
    <s v="Furniture"/>
    <n v="2110.5100000000002"/>
    <n v="305.66000000000003"/>
    <n v="2"/>
    <n v="0.14482755352971557"/>
  </r>
  <r>
    <s v="ORD1013"/>
    <s v="2025-02-01"/>
    <x v="3"/>
    <x v="0"/>
    <s v="Office"/>
    <n v="4204.1899999999996"/>
    <n v="789.62"/>
    <n v="2"/>
    <n v="0.18781739169733053"/>
  </r>
  <r>
    <s v="ORD1014"/>
    <s v="2025-12-03"/>
    <x v="2"/>
    <x v="6"/>
    <s v="Furniture"/>
    <n v="300.8"/>
    <n v="78.09"/>
    <n v="1"/>
    <n v="0.25960771276595745"/>
  </r>
  <r>
    <s v="ORD1015"/>
    <s v="2025-02-15"/>
    <x v="2"/>
    <x v="0"/>
    <s v="Office"/>
    <n v="2716.89"/>
    <n v="148.99"/>
    <n v="7"/>
    <n v="5.4838436594783012E-2"/>
  </r>
  <r>
    <s v="ORD1016"/>
    <s v="2025-08-06"/>
    <x v="0"/>
    <x v="2"/>
    <s v="Office"/>
    <n v="3764.43"/>
    <n v="739.03"/>
    <n v="5"/>
    <n v="0.19631923026859313"/>
  </r>
  <r>
    <s v="ORD1017"/>
    <s v="2025-05-24"/>
    <x v="2"/>
    <x v="3"/>
    <s v="Office"/>
    <n v="2684.26"/>
    <n v="275.57"/>
    <n v="2"/>
    <n v="0.10266144114206521"/>
  </r>
  <r>
    <s v="ORD1018"/>
    <s v="2025-02-17"/>
    <x v="3"/>
    <x v="1"/>
    <s v="Electronics"/>
    <n v="4820.97"/>
    <n v="1339.62"/>
    <n v="6"/>
    <n v="0.27787353997224623"/>
  </r>
  <r>
    <s v="ORD1019"/>
    <s v="2025-04-15"/>
    <x v="0"/>
    <x v="1"/>
    <s v="Electronics"/>
    <n v="4609.9399999999996"/>
    <n v="977.12"/>
    <n v="4"/>
    <n v="0.21195937474240448"/>
  </r>
  <r>
    <s v="ORD1020"/>
    <s v="2025-08-19"/>
    <x v="3"/>
    <x v="3"/>
    <s v="Office"/>
    <n v="465.6"/>
    <n v="106.75"/>
    <n v="2"/>
    <n v="0.22927405498281786"/>
  </r>
  <r>
    <s v="ORD1021"/>
    <s v="2025-11-29"/>
    <x v="0"/>
    <x v="1"/>
    <s v="Electronics"/>
    <n v="1300.69"/>
    <n v="234.91"/>
    <n v="10"/>
    <n v="0.18060414087907187"/>
  </r>
  <r>
    <s v="ORD1022"/>
    <s v="2025-08-15"/>
    <x v="3"/>
    <x v="1"/>
    <s v="Electronics"/>
    <n v="1958.64"/>
    <n v="655.4"/>
    <n v="4"/>
    <n v="0.33461994036678511"/>
  </r>
  <r>
    <s v="ORD1023"/>
    <s v="2025-07-12"/>
    <x v="2"/>
    <x v="2"/>
    <s v="Office"/>
    <n v="4837.72"/>
    <n v="1125.8399999999999"/>
    <n v="6"/>
    <n v="0.23272119924261839"/>
  </r>
  <r>
    <s v="ORD1024"/>
    <s v="2025-08-07"/>
    <x v="0"/>
    <x v="3"/>
    <s v="Office"/>
    <n v="3823.46"/>
    <n v="1301.79"/>
    <n v="10"/>
    <n v="0.34047433476484651"/>
  </r>
  <r>
    <s v="ORD1025"/>
    <s v="2025-05-17"/>
    <x v="0"/>
    <x v="6"/>
    <s v="Furniture"/>
    <n v="4956.76"/>
    <n v="883.07"/>
    <n v="4"/>
    <n v="0.17815468168723117"/>
  </r>
  <r>
    <s v="ORD1026"/>
    <s v="2025-12-15"/>
    <x v="2"/>
    <x v="2"/>
    <s v="Office"/>
    <n v="3743.24"/>
    <n v="722.44"/>
    <n v="2"/>
    <n v="0.19299857877133181"/>
  </r>
  <r>
    <s v="ORD1027"/>
    <s v="2025-11-06"/>
    <x v="1"/>
    <x v="5"/>
    <s v="Furniture"/>
    <n v="220.99"/>
    <n v="62.9"/>
    <n v="8"/>
    <n v="0.28462826372234035"/>
  </r>
  <r>
    <s v="ORD1028"/>
    <s v="2025-12-27"/>
    <x v="2"/>
    <x v="6"/>
    <s v="Furniture"/>
    <n v="4449.8900000000003"/>
    <n v="1199.42"/>
    <n v="5"/>
    <n v="0.26953924703756721"/>
  </r>
  <r>
    <s v="ORD1029"/>
    <s v="2025-06-28"/>
    <x v="2"/>
    <x v="2"/>
    <s v="Office"/>
    <n v="3724.54"/>
    <n v="573.36"/>
    <n v="1"/>
    <n v="0.15394115783425605"/>
  </r>
  <r>
    <s v="ORD1030"/>
    <s v="2025-08-09"/>
    <x v="0"/>
    <x v="4"/>
    <s v="Electronics"/>
    <n v="2220.1999999999998"/>
    <n v="747.06"/>
    <n v="6"/>
    <n v="0.33648319971173768"/>
  </r>
  <r>
    <s v="ORD1031"/>
    <s v="2025-07-14"/>
    <x v="1"/>
    <x v="5"/>
    <s v="Furniture"/>
    <n v="3126.36"/>
    <n v="1065.3699999999999"/>
    <n v="2"/>
    <n v="0.34077009685384918"/>
  </r>
  <r>
    <s v="ORD1032"/>
    <s v="2025-10-23"/>
    <x v="2"/>
    <x v="2"/>
    <s v="Office"/>
    <n v="2214.1999999999998"/>
    <n v="617.69000000000005"/>
    <n v="3"/>
    <n v="0.27896757293830732"/>
  </r>
  <r>
    <s v="ORD1033"/>
    <s v="2025-04-20"/>
    <x v="2"/>
    <x v="0"/>
    <s v="Office"/>
    <n v="3051.11"/>
    <n v="189.85"/>
    <n v="4"/>
    <n v="6.2223256454208467E-2"/>
  </r>
  <r>
    <s v="ORD1034"/>
    <s v="2025-11-03"/>
    <x v="3"/>
    <x v="6"/>
    <s v="Furniture"/>
    <n v="2903.15"/>
    <n v="354.17"/>
    <n v="10"/>
    <n v="0.12199507431582936"/>
  </r>
  <r>
    <s v="ORD1035"/>
    <s v="2025-07-12"/>
    <x v="0"/>
    <x v="6"/>
    <s v="Furniture"/>
    <n v="3461.53"/>
    <n v="1069.6199999999999"/>
    <n v="6"/>
    <n v="0.30900208867177226"/>
  </r>
  <r>
    <s v="ORD1036"/>
    <s v="2025-02-25"/>
    <x v="0"/>
    <x v="3"/>
    <s v="Office"/>
    <n v="4470.4399999999996"/>
    <n v="1480.4"/>
    <n v="10"/>
    <n v="0.3311530856023121"/>
  </r>
  <r>
    <s v="ORD1037"/>
    <s v="2025-08-24"/>
    <x v="1"/>
    <x v="3"/>
    <s v="Office"/>
    <n v="2618.63"/>
    <n v="862.84"/>
    <n v="5"/>
    <n v="0.32950054035888993"/>
  </r>
  <r>
    <s v="ORD1038"/>
    <s v="2025-09-19"/>
    <x v="2"/>
    <x v="5"/>
    <s v="Furniture"/>
    <n v="3405.83"/>
    <n v="855.19"/>
    <n v="4"/>
    <n v="0.25109591494584288"/>
  </r>
  <r>
    <s v="ORD1039"/>
    <s v="2025-12-03"/>
    <x v="1"/>
    <x v="3"/>
    <s v="Office"/>
    <n v="2853.1"/>
    <n v="540.13"/>
    <n v="2"/>
    <n v="0.18931337843047913"/>
  </r>
  <r>
    <s v="ORD1040"/>
    <s v="2025-06-17"/>
    <x v="0"/>
    <x v="7"/>
    <s v="Electronics"/>
    <n v="4727.93"/>
    <n v="638.05999999999995"/>
    <n v="10"/>
    <n v="0.13495546676875503"/>
  </r>
  <r>
    <s v="ORD1041"/>
    <s v="2025-05-25"/>
    <x v="1"/>
    <x v="3"/>
    <s v="Office"/>
    <n v="2085.6"/>
    <n v="706.93"/>
    <n v="6"/>
    <n v="0.33895761411584197"/>
  </r>
  <r>
    <s v="ORD1042"/>
    <s v="2025-08-13"/>
    <x v="0"/>
    <x v="0"/>
    <s v="Office"/>
    <n v="4687.1400000000003"/>
    <n v="245.51"/>
    <n v="2"/>
    <n v="5.2379489411453463E-2"/>
  </r>
  <r>
    <s v="ORD1043"/>
    <s v="2025-03-23"/>
    <x v="3"/>
    <x v="4"/>
    <s v="Electronics"/>
    <n v="3559.3"/>
    <n v="231.65"/>
    <n v="9"/>
    <n v="6.5083021942516792E-2"/>
  </r>
  <r>
    <s v="ORD1044"/>
    <s v="2025-01-17"/>
    <x v="0"/>
    <x v="0"/>
    <s v="Office"/>
    <n v="935.38"/>
    <n v="230.22"/>
    <n v="4"/>
    <n v="0.24612456969360047"/>
  </r>
  <r>
    <s v="ORD1045"/>
    <s v="2025-03-18"/>
    <x v="2"/>
    <x v="1"/>
    <s v="Electronics"/>
    <n v="1348.36"/>
    <n v="339.48"/>
    <n v="9"/>
    <n v="0.25177252365837022"/>
  </r>
  <r>
    <s v="ORD1046"/>
    <s v="2025-06-05"/>
    <x v="2"/>
    <x v="5"/>
    <s v="Furniture"/>
    <n v="932.38"/>
    <n v="184.52"/>
    <n v="10"/>
    <n v="0.19790214290310817"/>
  </r>
  <r>
    <s v="ORD1047"/>
    <s v="2025-09-08"/>
    <x v="2"/>
    <x v="2"/>
    <s v="Office"/>
    <n v="4897.76"/>
    <n v="769.33"/>
    <n v="3"/>
    <n v="0.15707792950246643"/>
  </r>
  <r>
    <s v="ORD1048"/>
    <s v="2025-09-23"/>
    <x v="0"/>
    <x v="3"/>
    <s v="Office"/>
    <n v="3791.71"/>
    <n v="461.92"/>
    <n v="4"/>
    <n v="0.12182366267462438"/>
  </r>
  <r>
    <s v="ORD1049"/>
    <s v="2025-12-05"/>
    <x v="2"/>
    <x v="1"/>
    <s v="Electronics"/>
    <n v="1944.3"/>
    <n v="636.13"/>
    <n v="7"/>
    <n v="0.32717687599650258"/>
  </r>
  <r>
    <s v="ORD1050"/>
    <s v="2025-12-07"/>
    <x v="3"/>
    <x v="6"/>
    <s v="Furniture"/>
    <n v="1714.65"/>
    <n v="190.44"/>
    <n v="3"/>
    <n v="0.11106639839034205"/>
  </r>
  <r>
    <s v="ORD1051"/>
    <s v="2025-03-04"/>
    <x v="1"/>
    <x v="0"/>
    <s v="Office"/>
    <n v="2941.49"/>
    <n v="608.91999999999996"/>
    <n v="4"/>
    <n v="0.20701073265589889"/>
  </r>
  <r>
    <s v="ORD1052"/>
    <s v="2025-03-14"/>
    <x v="2"/>
    <x v="7"/>
    <s v="Electronics"/>
    <n v="4558.04"/>
    <n v="523.79999999999995"/>
    <n v="6"/>
    <n v="0.11491781555229878"/>
  </r>
  <r>
    <s v="ORD1053"/>
    <s v="2025-08-26"/>
    <x v="2"/>
    <x v="4"/>
    <s v="Electronics"/>
    <n v="3529.76"/>
    <n v="275.33"/>
    <n v="10"/>
    <n v="7.800247042291826E-2"/>
  </r>
  <r>
    <s v="ORD1054"/>
    <s v="2025-02-14"/>
    <x v="0"/>
    <x v="7"/>
    <s v="Electronics"/>
    <n v="481.59"/>
    <n v="73.680000000000007"/>
    <n v="2"/>
    <n v="0.15299320999190186"/>
  </r>
  <r>
    <s v="ORD1055"/>
    <s v="2025-03-28"/>
    <x v="1"/>
    <x v="5"/>
    <s v="Furniture"/>
    <n v="3467.43"/>
    <n v="231.26"/>
    <n v="7"/>
    <n v="6.6694929674139064E-2"/>
  </r>
  <r>
    <s v="ORD1056"/>
    <s v="2025-06-21"/>
    <x v="2"/>
    <x v="1"/>
    <s v="Electronics"/>
    <n v="4949.71"/>
    <n v="1513.69"/>
    <n v="10"/>
    <n v="0.30581387596445048"/>
  </r>
  <r>
    <s v="ORD1057"/>
    <s v="2025-09-18"/>
    <x v="3"/>
    <x v="6"/>
    <s v="Furniture"/>
    <n v="755.59"/>
    <n v="181.9"/>
    <n v="9"/>
    <n v="0.24073902513267778"/>
  </r>
  <r>
    <s v="ORD1058"/>
    <s v="2025-11-12"/>
    <x v="3"/>
    <x v="2"/>
    <s v="Office"/>
    <n v="2875.89"/>
    <n v="711.32"/>
    <n v="3"/>
    <n v="0.24733908459642062"/>
  </r>
  <r>
    <s v="ORD1059"/>
    <s v="2025-05-16"/>
    <x v="3"/>
    <x v="3"/>
    <s v="Office"/>
    <n v="289.82"/>
    <n v="73.36"/>
    <n v="5"/>
    <n v="0.25312262783796841"/>
  </r>
  <r>
    <s v="ORD1060"/>
    <s v="2025-11-14"/>
    <x v="3"/>
    <x v="7"/>
    <s v="Electronics"/>
    <n v="425.34"/>
    <n v="79.67"/>
    <n v="4"/>
    <n v="0.1873089763483331"/>
  </r>
  <r>
    <s v="ORD1061"/>
    <s v="2025-06-28"/>
    <x v="3"/>
    <x v="0"/>
    <s v="Office"/>
    <n v="2503.77"/>
    <n v="448.15"/>
    <n v="5"/>
    <n v="0.17899008295490398"/>
  </r>
  <r>
    <s v="ORD1062"/>
    <s v="2025-05-10"/>
    <x v="3"/>
    <x v="3"/>
    <s v="Office"/>
    <n v="3296.8"/>
    <n v="423.46"/>
    <n v="10"/>
    <n v="0.12844576559087598"/>
  </r>
  <r>
    <s v="ORD1063"/>
    <s v="2025-05-29"/>
    <x v="3"/>
    <x v="5"/>
    <s v="Furniture"/>
    <n v="3926.73"/>
    <n v="829.41"/>
    <n v="4"/>
    <n v="0.21122155075597251"/>
  </r>
  <r>
    <s v="ORD1064"/>
    <s v="2025-11-03"/>
    <x v="1"/>
    <x v="0"/>
    <s v="Office"/>
    <n v="4134.1899999999996"/>
    <n v="268.13"/>
    <n v="3"/>
    <n v="6.4856719212227798E-2"/>
  </r>
  <r>
    <s v="ORD1065"/>
    <s v="2025-09-30"/>
    <x v="0"/>
    <x v="6"/>
    <s v="Furniture"/>
    <n v="3385.24"/>
    <n v="1151.49"/>
    <n v="8"/>
    <n v="0.34015018137561887"/>
  </r>
  <r>
    <s v="ORD1066"/>
    <s v="2025-07-29"/>
    <x v="0"/>
    <x v="4"/>
    <s v="Electronics"/>
    <n v="2841.93"/>
    <n v="149.74"/>
    <n v="8"/>
    <n v="5.2689545484934541E-2"/>
  </r>
  <r>
    <s v="ORD1067"/>
    <s v="2025-12-01"/>
    <x v="3"/>
    <x v="1"/>
    <s v="Electronics"/>
    <n v="4540.28"/>
    <n v="1174.26"/>
    <n v="3"/>
    <n v="0.25863162624331543"/>
  </r>
  <r>
    <s v="ORD1068"/>
    <s v="2025-04-24"/>
    <x v="2"/>
    <x v="6"/>
    <s v="Furniture"/>
    <n v="372.6"/>
    <n v="36.54"/>
    <n v="10"/>
    <n v="9.8067632850241532E-2"/>
  </r>
  <r>
    <s v="ORD1069"/>
    <s v="2025-08-22"/>
    <x v="2"/>
    <x v="2"/>
    <s v="Office"/>
    <n v="353.71"/>
    <n v="18.36"/>
    <n v="7"/>
    <n v="5.190692940544514E-2"/>
  </r>
  <r>
    <s v="ORD1070"/>
    <s v="2025-07-23"/>
    <x v="3"/>
    <x v="5"/>
    <s v="Furniture"/>
    <n v="919"/>
    <n v="233.72"/>
    <n v="7"/>
    <n v="0.25431991294885747"/>
  </r>
  <r>
    <s v="ORD1071"/>
    <s v="2025-01-16"/>
    <x v="2"/>
    <x v="1"/>
    <s v="Electronics"/>
    <n v="4541.88"/>
    <n v="1415.77"/>
    <n v="4"/>
    <n v="0.31171453230820717"/>
  </r>
  <r>
    <s v="ORD1072"/>
    <s v="2025-08-04"/>
    <x v="3"/>
    <x v="4"/>
    <s v="Electronics"/>
    <n v="766.76"/>
    <n v="164.24"/>
    <n v="3"/>
    <n v="0.21420001043351244"/>
  </r>
  <r>
    <s v="ORD1073"/>
    <s v="2025-10-12"/>
    <x v="2"/>
    <x v="7"/>
    <s v="Electronics"/>
    <n v="4384.43"/>
    <n v="529.52"/>
    <n v="4"/>
    <n v="0.12077282565806728"/>
  </r>
  <r>
    <s v="ORD1074"/>
    <s v="2025-05-31"/>
    <x v="0"/>
    <x v="3"/>
    <s v="Office"/>
    <n v="549.33000000000004"/>
    <n v="139.94999999999999"/>
    <n v="7"/>
    <n v="0.25476489541805469"/>
  </r>
  <r>
    <s v="ORD1075"/>
    <s v="2025-09-22"/>
    <x v="3"/>
    <x v="6"/>
    <s v="Furniture"/>
    <n v="1407.17"/>
    <n v="316.38"/>
    <n v="2"/>
    <n v="0.22483424177604694"/>
  </r>
  <r>
    <s v="ORD1076"/>
    <s v="2025-12-27"/>
    <x v="1"/>
    <x v="7"/>
    <s v="Electronics"/>
    <n v="4625.32"/>
    <n v="1430.82"/>
    <n v="4"/>
    <n v="0.30934508315100362"/>
  </r>
  <r>
    <s v="ORD1077"/>
    <s v="2025-03-18"/>
    <x v="0"/>
    <x v="1"/>
    <s v="Electronics"/>
    <n v="1404.82"/>
    <n v="306.43"/>
    <n v="5"/>
    <n v="0.21812758929969678"/>
  </r>
  <r>
    <s v="ORD1078"/>
    <s v="2025-04-11"/>
    <x v="0"/>
    <x v="6"/>
    <s v="Furniture"/>
    <n v="4483.8"/>
    <n v="621.67999999999995"/>
    <n v="9"/>
    <n v="0.13865025201837725"/>
  </r>
  <r>
    <s v="ORD1079"/>
    <s v="2025-02-13"/>
    <x v="3"/>
    <x v="6"/>
    <s v="Furniture"/>
    <n v="284.52"/>
    <n v="77.97"/>
    <n v="8"/>
    <n v="0.27404048924504432"/>
  </r>
  <r>
    <s v="ORD1080"/>
    <s v="2025-05-19"/>
    <x v="0"/>
    <x v="4"/>
    <s v="Electronics"/>
    <n v="1424.46"/>
    <n v="165.05"/>
    <n v="7"/>
    <n v="0.11586846945509176"/>
  </r>
  <r>
    <s v="ORD1081"/>
    <s v="2025-11-15"/>
    <x v="2"/>
    <x v="2"/>
    <s v="Office"/>
    <n v="2905.7"/>
    <n v="618.66999999999996"/>
    <n v="6"/>
    <n v="0.21291599270399558"/>
  </r>
  <r>
    <s v="ORD1082"/>
    <s v="2025-05-15"/>
    <x v="1"/>
    <x v="1"/>
    <s v="Electronics"/>
    <n v="2768.1"/>
    <n v="611.72"/>
    <n v="10"/>
    <n v="0.22098912611538601"/>
  </r>
  <r>
    <s v="ORD1083"/>
    <s v="2025-06-26"/>
    <x v="1"/>
    <x v="5"/>
    <s v="Furniture"/>
    <n v="3206.6"/>
    <n v="916.41"/>
    <n v="1"/>
    <n v="0.28578868583546435"/>
  </r>
  <r>
    <s v="ORD1084"/>
    <s v="2025-06-26"/>
    <x v="2"/>
    <x v="4"/>
    <s v="Electronics"/>
    <n v="4770.5"/>
    <n v="650.67999999999995"/>
    <n v="7"/>
    <n v="0.13639660412954616"/>
  </r>
  <r>
    <s v="ORD1085"/>
    <s v="2025-02-16"/>
    <x v="0"/>
    <x v="1"/>
    <s v="Electronics"/>
    <n v="1424.92"/>
    <n v="282.45"/>
    <n v="4"/>
    <n v="0.19822165454902729"/>
  </r>
  <r>
    <s v="ORD1086"/>
    <s v="2025-07-04"/>
    <x v="1"/>
    <x v="1"/>
    <s v="Electronics"/>
    <n v="3914.64"/>
    <n v="460.6"/>
    <n v="3"/>
    <n v="0.1176608832485235"/>
  </r>
  <r>
    <s v="ORD1087"/>
    <s v="2025-02-22"/>
    <x v="2"/>
    <x v="3"/>
    <s v="Office"/>
    <n v="2197.81"/>
    <n v="736.59"/>
    <n v="3"/>
    <n v="0.33514726022722624"/>
  </r>
  <r>
    <s v="ORD1088"/>
    <s v="2025-08-18"/>
    <x v="0"/>
    <x v="2"/>
    <s v="Office"/>
    <n v="2940.33"/>
    <n v="534.20000000000005"/>
    <n v="9"/>
    <n v="0.18168028758676749"/>
  </r>
  <r>
    <s v="ORD1089"/>
    <s v="2025-09-08"/>
    <x v="0"/>
    <x v="2"/>
    <s v="Office"/>
    <n v="238.94"/>
    <n v="34.53"/>
    <n v="8"/>
    <n v="0.14451326692893615"/>
  </r>
  <r>
    <s v="ORD1090"/>
    <s v="2025-06-24"/>
    <x v="3"/>
    <x v="1"/>
    <s v="Electronics"/>
    <n v="1970.16"/>
    <n v="322.37"/>
    <n v="3"/>
    <n v="0.16362630446258172"/>
  </r>
  <r>
    <s v="ORD1091"/>
    <s v="2025-07-03"/>
    <x v="0"/>
    <x v="2"/>
    <s v="Office"/>
    <n v="4992.0600000000004"/>
    <n v="362.2"/>
    <n v="1"/>
    <n v="7.2555217685684861E-2"/>
  </r>
  <r>
    <s v="ORD1092"/>
    <s v="2025-04-24"/>
    <x v="2"/>
    <x v="3"/>
    <s v="Office"/>
    <n v="353.54"/>
    <n v="84.39"/>
    <n v="1"/>
    <n v="0.2387000056570685"/>
  </r>
  <r>
    <s v="ORD1093"/>
    <s v="2025-11-30"/>
    <x v="0"/>
    <x v="3"/>
    <s v="Office"/>
    <n v="2439.3000000000002"/>
    <n v="280.38"/>
    <n v="4"/>
    <n v="0.11494281146230476"/>
  </r>
  <r>
    <s v="ORD1094"/>
    <s v="2025-09-28"/>
    <x v="0"/>
    <x v="5"/>
    <s v="Furniture"/>
    <n v="2168.1799999999998"/>
    <n v="524.5"/>
    <n v="7"/>
    <n v="0.24190795967124504"/>
  </r>
  <r>
    <s v="ORD1095"/>
    <s v="2025-04-24"/>
    <x v="2"/>
    <x v="3"/>
    <s v="Office"/>
    <n v="2830.96"/>
    <n v="176.15"/>
    <n v="9"/>
    <n v="6.2222708904399925E-2"/>
  </r>
  <r>
    <s v="ORD1096"/>
    <s v="2025-11-15"/>
    <x v="0"/>
    <x v="6"/>
    <s v="Furniture"/>
    <n v="1760.76"/>
    <n v="531.82000000000005"/>
    <n v="3"/>
    <n v="0.30204002816965403"/>
  </r>
  <r>
    <s v="ORD1097"/>
    <s v="2025-02-24"/>
    <x v="2"/>
    <x v="3"/>
    <s v="Office"/>
    <n v="1637.81"/>
    <n v="485.94"/>
    <n v="1"/>
    <n v="0.29670108254315214"/>
  </r>
  <r>
    <s v="ORD1098"/>
    <s v="2025-09-04"/>
    <x v="3"/>
    <x v="3"/>
    <s v="Office"/>
    <n v="2127.79"/>
    <n v="117.74"/>
    <n v="10"/>
    <n v="5.5334408000789551E-2"/>
  </r>
  <r>
    <s v="ORD1099"/>
    <s v="2025-12-21"/>
    <x v="2"/>
    <x v="0"/>
    <s v="Office"/>
    <n v="4515.2"/>
    <n v="321.62"/>
    <n v="5"/>
    <n v="7.1230510276399719E-2"/>
  </r>
  <r>
    <s v="ORD1100"/>
    <s v="2025-10-11"/>
    <x v="0"/>
    <x v="6"/>
    <s v="Furniture"/>
    <n v="3106.49"/>
    <n v="686.76"/>
    <n v="2"/>
    <n v="0.22107265756529074"/>
  </r>
  <r>
    <s v="ORD1101"/>
    <s v="2025-10-07"/>
    <x v="3"/>
    <x v="4"/>
    <s v="Electronics"/>
    <n v="578.83000000000004"/>
    <n v="87.76"/>
    <n v="3"/>
    <n v="0.15161619128241452"/>
  </r>
  <r>
    <s v="ORD1102"/>
    <s v="2025-05-31"/>
    <x v="0"/>
    <x v="6"/>
    <s v="Furniture"/>
    <n v="3556.17"/>
    <n v="453.33"/>
    <n v="5"/>
    <n v="0.12747703287525625"/>
  </r>
  <r>
    <s v="ORD1103"/>
    <s v="2025-11-09"/>
    <x v="2"/>
    <x v="4"/>
    <s v="Electronics"/>
    <n v="886.98"/>
    <n v="158.77000000000001"/>
    <n v="7"/>
    <n v="0.1790006539042594"/>
  </r>
  <r>
    <s v="ORD1104"/>
    <s v="2025-06-30"/>
    <x v="0"/>
    <x v="5"/>
    <s v="Furniture"/>
    <n v="3227.99"/>
    <n v="1026.83"/>
    <n v="4"/>
    <n v="0.31810197677192309"/>
  </r>
  <r>
    <s v="ORD1105"/>
    <s v="2025-06-06"/>
    <x v="1"/>
    <x v="0"/>
    <s v="Office"/>
    <n v="1770.66"/>
    <n v="496.6"/>
    <n v="6"/>
    <n v="0.28046039329967359"/>
  </r>
  <r>
    <s v="ORD1106"/>
    <s v="2025-12-07"/>
    <x v="2"/>
    <x v="0"/>
    <s v="Office"/>
    <n v="426.44"/>
    <n v="85.8"/>
    <n v="8"/>
    <n v="0.20120063783885189"/>
  </r>
  <r>
    <s v="ORD1107"/>
    <s v="2025-09-22"/>
    <x v="1"/>
    <x v="0"/>
    <s v="Office"/>
    <n v="2948.75"/>
    <n v="384.21"/>
    <n v="9"/>
    <n v="0.13029588808817294"/>
  </r>
  <r>
    <s v="ORD1108"/>
    <s v="2025-06-14"/>
    <x v="3"/>
    <x v="4"/>
    <s v="Electronics"/>
    <n v="3346.66"/>
    <n v="435.74"/>
    <n v="7"/>
    <n v="0.13020145458457089"/>
  </r>
  <r>
    <s v="ORD1109"/>
    <s v="2025-05-06"/>
    <x v="0"/>
    <x v="0"/>
    <s v="Office"/>
    <n v="2990.08"/>
    <n v="590.54999999999995"/>
    <n v="4"/>
    <n v="0.19750307684075341"/>
  </r>
  <r>
    <s v="ORD1110"/>
    <s v="2025-05-25"/>
    <x v="0"/>
    <x v="1"/>
    <s v="Electronics"/>
    <n v="4118.57"/>
    <n v="343.23"/>
    <n v="4"/>
    <n v="8.3337177709739071E-2"/>
  </r>
  <r>
    <s v="ORD1111"/>
    <s v="2025-06-18"/>
    <x v="2"/>
    <x v="7"/>
    <s v="Electronics"/>
    <n v="3320.2"/>
    <n v="988.34"/>
    <n v="4"/>
    <n v="0.29767483886512863"/>
  </r>
  <r>
    <s v="ORD1112"/>
    <s v="2025-03-16"/>
    <x v="2"/>
    <x v="4"/>
    <s v="Electronics"/>
    <n v="3015.58"/>
    <n v="663.9"/>
    <n v="4"/>
    <n v="0.22015665311482369"/>
  </r>
  <r>
    <s v="ORD1113"/>
    <s v="2025-01-17"/>
    <x v="2"/>
    <x v="4"/>
    <s v="Electronics"/>
    <n v="2398.79"/>
    <n v="658.37"/>
    <n v="10"/>
    <n v="0.27445920651661881"/>
  </r>
  <r>
    <s v="ORD1114"/>
    <s v="2025-06-24"/>
    <x v="3"/>
    <x v="1"/>
    <s v="Electronics"/>
    <n v="3505.24"/>
    <n v="596.71"/>
    <n v="3"/>
    <n v="0.17023370724971759"/>
  </r>
  <r>
    <s v="ORD1115"/>
    <s v="2025-02-01"/>
    <x v="1"/>
    <x v="0"/>
    <s v="Office"/>
    <n v="1116.1500000000001"/>
    <n v="171.42"/>
    <n v="7"/>
    <n v="0.15358150786184649"/>
  </r>
  <r>
    <s v="ORD1116"/>
    <s v="2025-04-22"/>
    <x v="0"/>
    <x v="2"/>
    <s v="Office"/>
    <n v="1767.21"/>
    <n v="108.92"/>
    <n v="8"/>
    <n v="6.1633874864900039E-2"/>
  </r>
  <r>
    <s v="ORD1117"/>
    <s v="2025-08-21"/>
    <x v="1"/>
    <x v="4"/>
    <s v="Electronics"/>
    <n v="712.47"/>
    <n v="198.12"/>
    <n v="9"/>
    <n v="0.27807486631016043"/>
  </r>
  <r>
    <s v="ORD1118"/>
    <s v="2025-09-12"/>
    <x v="2"/>
    <x v="5"/>
    <s v="Furniture"/>
    <n v="980.01"/>
    <n v="109.59"/>
    <n v="4"/>
    <n v="0.11182538953684147"/>
  </r>
  <r>
    <s v="ORD1119"/>
    <s v="2025-09-15"/>
    <x v="3"/>
    <x v="3"/>
    <s v="Office"/>
    <n v="1410.02"/>
    <n v="251.81"/>
    <n v="10"/>
    <n v="0.17858611934582488"/>
  </r>
  <r>
    <s v="ORD1120"/>
    <s v="2025-08-02"/>
    <x v="2"/>
    <x v="2"/>
    <s v="Office"/>
    <n v="4497.5200000000004"/>
    <n v="592.04"/>
    <n v="8"/>
    <n v="0.13163699105284687"/>
  </r>
  <r>
    <s v="ORD1121"/>
    <s v="2025-03-30"/>
    <x v="3"/>
    <x v="6"/>
    <s v="Furniture"/>
    <n v="1873.74"/>
    <n v="226.41"/>
    <n v="1"/>
    <n v="0.12083319991033975"/>
  </r>
  <r>
    <s v="ORD1122"/>
    <s v="2025-08-13"/>
    <x v="2"/>
    <x v="7"/>
    <s v="Electronics"/>
    <n v="919.79"/>
    <n v="146.24"/>
    <n v="7"/>
    <n v="0.15899281357701217"/>
  </r>
  <r>
    <s v="ORD1123"/>
    <s v="2025-10-20"/>
    <x v="2"/>
    <x v="2"/>
    <s v="Office"/>
    <n v="3585.61"/>
    <n v="1041.08"/>
    <n v="3"/>
    <n v="0.29034948028368951"/>
  </r>
  <r>
    <s v="ORD1124"/>
    <s v="2025-01-08"/>
    <x v="2"/>
    <x v="3"/>
    <s v="Office"/>
    <n v="1024.31"/>
    <n v="211.53"/>
    <n v="1"/>
    <n v="0.2065097480255001"/>
  </r>
  <r>
    <s v="ORD1125"/>
    <s v="2025-07-19"/>
    <x v="3"/>
    <x v="5"/>
    <s v="Furniture"/>
    <n v="2507.67"/>
    <n v="132.84"/>
    <n v="9"/>
    <n v="5.2973477371424472E-2"/>
  </r>
  <r>
    <s v="ORD1126"/>
    <s v="2025-12-01"/>
    <x v="2"/>
    <x v="1"/>
    <s v="Electronics"/>
    <n v="2656.83"/>
    <n v="533.03"/>
    <n v="5"/>
    <n v="0.20062631030212696"/>
  </r>
  <r>
    <s v="ORD1127"/>
    <s v="2025-04-24"/>
    <x v="2"/>
    <x v="7"/>
    <s v="Electronics"/>
    <n v="4043.34"/>
    <n v="813.61"/>
    <n v="7"/>
    <n v="0.20122225684706208"/>
  </r>
  <r>
    <s v="ORD1128"/>
    <s v="2025-02-06"/>
    <x v="1"/>
    <x v="6"/>
    <s v="Furniture"/>
    <n v="4286.43"/>
    <n v="1000.72"/>
    <n v="4"/>
    <n v="0.233462345121698"/>
  </r>
  <r>
    <s v="ORD1129"/>
    <s v="2025-05-13"/>
    <x v="1"/>
    <x v="2"/>
    <s v="Office"/>
    <n v="4292.5600000000004"/>
    <n v="480.91"/>
    <n v="7"/>
    <n v="0.11203337868311683"/>
  </r>
  <r>
    <s v="ORD1130"/>
    <s v="2025-09-21"/>
    <x v="0"/>
    <x v="1"/>
    <s v="Electronics"/>
    <n v="2484.91"/>
    <n v="150.72999999999999"/>
    <n v="8"/>
    <n v="6.0658132487695728E-2"/>
  </r>
  <r>
    <s v="ORD1131"/>
    <s v="2025-07-27"/>
    <x v="1"/>
    <x v="1"/>
    <s v="Electronics"/>
    <n v="297.67"/>
    <n v="66.53"/>
    <n v="5"/>
    <n v="0.22350253636577416"/>
  </r>
  <r>
    <s v="ORD1132"/>
    <s v="2025-10-02"/>
    <x v="0"/>
    <x v="2"/>
    <s v="Office"/>
    <n v="2817.68"/>
    <n v="838.18"/>
    <n v="9"/>
    <n v="0.29747167882797193"/>
  </r>
  <r>
    <s v="ORD1133"/>
    <s v="2025-07-30"/>
    <x v="1"/>
    <x v="6"/>
    <s v="Furniture"/>
    <n v="3727.71"/>
    <n v="477.8"/>
    <n v="5"/>
    <n v="0.1281752067623286"/>
  </r>
  <r>
    <s v="ORD1134"/>
    <s v="2025-06-15"/>
    <x v="1"/>
    <x v="3"/>
    <s v="Office"/>
    <n v="3012.81"/>
    <n v="272.61"/>
    <n v="2"/>
    <n v="9.0483634879066396E-2"/>
  </r>
  <r>
    <s v="ORD1135"/>
    <s v="2025-03-28"/>
    <x v="0"/>
    <x v="0"/>
    <s v="Office"/>
    <n v="2993.43"/>
    <n v="223.04"/>
    <n v="3"/>
    <n v="7.4509843223325753E-2"/>
  </r>
  <r>
    <s v="ORD1136"/>
    <s v="2025-01-03"/>
    <x v="1"/>
    <x v="7"/>
    <s v="Electronics"/>
    <n v="1872.53"/>
    <n v="229.3"/>
    <n v="9"/>
    <n v="0.12245464692154466"/>
  </r>
  <r>
    <s v="ORD1137"/>
    <s v="2025-06-07"/>
    <x v="3"/>
    <x v="3"/>
    <s v="Office"/>
    <n v="4232.2299999999996"/>
    <n v="1066.6400000000001"/>
    <n v="7"/>
    <n v="0.25202789073372672"/>
  </r>
  <r>
    <s v="ORD1138"/>
    <s v="2025-05-10"/>
    <x v="2"/>
    <x v="5"/>
    <s v="Furniture"/>
    <n v="2849.89"/>
    <n v="973.97"/>
    <n v="2"/>
    <n v="0.34175705027211578"/>
  </r>
  <r>
    <s v="ORD1139"/>
    <s v="2025-12-06"/>
    <x v="3"/>
    <x v="3"/>
    <s v="Office"/>
    <n v="948.6"/>
    <n v="98.88"/>
    <n v="5"/>
    <n v="0.10423782416192283"/>
  </r>
  <r>
    <s v="ORD1140"/>
    <s v="2025-12-23"/>
    <x v="0"/>
    <x v="2"/>
    <s v="Office"/>
    <n v="4089.8"/>
    <n v="598.57000000000005"/>
    <n v="1"/>
    <n v="0.14635679006308377"/>
  </r>
  <r>
    <s v="ORD1141"/>
    <s v="2025-08-30"/>
    <x v="2"/>
    <x v="6"/>
    <s v="Furniture"/>
    <n v="3069.38"/>
    <n v="294.51"/>
    <n v="2"/>
    <n v="9.5950973812300847E-2"/>
  </r>
  <r>
    <s v="ORD1142"/>
    <s v="2025-05-23"/>
    <x v="3"/>
    <x v="6"/>
    <s v="Furniture"/>
    <n v="864.74"/>
    <n v="102.74"/>
    <n v="6"/>
    <n v="0.11881027823392001"/>
  </r>
  <r>
    <s v="ORD1143"/>
    <s v="2025-09-25"/>
    <x v="2"/>
    <x v="3"/>
    <s v="Office"/>
    <n v="4732.87"/>
    <n v="882.64"/>
    <n v="4"/>
    <n v="0.18649149458996339"/>
  </r>
  <r>
    <s v="ORD1144"/>
    <s v="2025-11-26"/>
    <x v="2"/>
    <x v="2"/>
    <s v="Office"/>
    <n v="2592.7800000000002"/>
    <n v="543.22"/>
    <n v="10"/>
    <n v="0.20951256951997468"/>
  </r>
  <r>
    <s v="ORD1145"/>
    <s v="2025-12-31"/>
    <x v="0"/>
    <x v="4"/>
    <s v="Electronics"/>
    <n v="1786.87"/>
    <n v="155.78"/>
    <n v="6"/>
    <n v="8.7180376860096151E-2"/>
  </r>
  <r>
    <s v="ORD1146"/>
    <s v="2025-06-26"/>
    <x v="0"/>
    <x v="2"/>
    <s v="Office"/>
    <n v="1281.23"/>
    <n v="295.43"/>
    <n v="9"/>
    <n v="0.23058311154125333"/>
  </r>
  <r>
    <s v="ORD1147"/>
    <s v="2025-06-26"/>
    <x v="3"/>
    <x v="2"/>
    <s v="Office"/>
    <n v="1175.6400000000001"/>
    <n v="60.94"/>
    <n v="10"/>
    <n v="5.1835595930727084E-2"/>
  </r>
  <r>
    <s v="ORD1148"/>
    <s v="2025-06-09"/>
    <x v="0"/>
    <x v="4"/>
    <s v="Electronics"/>
    <n v="2939.37"/>
    <n v="861.49"/>
    <n v="9"/>
    <n v="0.29308661379819484"/>
  </r>
  <r>
    <s v="ORD1149"/>
    <s v="2025-07-15"/>
    <x v="2"/>
    <x v="7"/>
    <s v="Electronics"/>
    <n v="2128.2199999999998"/>
    <n v="376.39"/>
    <n v="3"/>
    <n v="0.17685671594102115"/>
  </r>
  <r>
    <s v="ORD1150"/>
    <s v="2025-11-28"/>
    <x v="2"/>
    <x v="5"/>
    <s v="Furniture"/>
    <n v="4740.92"/>
    <n v="1318.11"/>
    <n v="10"/>
    <n v="0.27802831517933224"/>
  </r>
  <r>
    <s v="ORD1151"/>
    <s v="2025-03-10"/>
    <x v="1"/>
    <x v="2"/>
    <s v="Office"/>
    <n v="338.41"/>
    <n v="29.19"/>
    <n v="10"/>
    <n v="8.6256316302709732E-2"/>
  </r>
  <r>
    <s v="ORD1152"/>
    <s v="2025-11-25"/>
    <x v="3"/>
    <x v="7"/>
    <s v="Electronics"/>
    <n v="4828.93"/>
    <n v="1420.31"/>
    <n v="7"/>
    <n v="0.29412519957837446"/>
  </r>
  <r>
    <s v="ORD1153"/>
    <s v="2025-07-26"/>
    <x v="2"/>
    <x v="3"/>
    <s v="Office"/>
    <n v="2815.75"/>
    <n v="469.32"/>
    <n v="7"/>
    <n v="0.16667672911302495"/>
  </r>
  <r>
    <s v="ORD1154"/>
    <s v="2025-11-24"/>
    <x v="1"/>
    <x v="1"/>
    <s v="Electronics"/>
    <n v="2629.39"/>
    <n v="654.53"/>
    <n v="4"/>
    <n v="0.24892845869193997"/>
  </r>
  <r>
    <s v="ORD1155"/>
    <s v="2025-09-27"/>
    <x v="1"/>
    <x v="3"/>
    <s v="Office"/>
    <n v="1561.31"/>
    <n v="100.77"/>
    <n v="7"/>
    <n v="6.4541955153044561E-2"/>
  </r>
  <r>
    <s v="ORD1156"/>
    <s v="2025-06-17"/>
    <x v="3"/>
    <x v="7"/>
    <s v="Electronics"/>
    <n v="2909.15"/>
    <n v="812.21"/>
    <n v="6"/>
    <n v="0.27919151642232265"/>
  </r>
  <r>
    <s v="ORD1157"/>
    <s v="2025-07-07"/>
    <x v="0"/>
    <x v="0"/>
    <s v="Office"/>
    <n v="2692.32"/>
    <n v="551.77"/>
    <n v="8"/>
    <n v="0.20494220597848695"/>
  </r>
  <r>
    <s v="ORD1158"/>
    <s v="2025-10-25"/>
    <x v="2"/>
    <x v="4"/>
    <s v="Electronics"/>
    <n v="1980.48"/>
    <n v="428.35"/>
    <n v="1"/>
    <n v="0.2162859508805946"/>
  </r>
  <r>
    <s v="ORD1159"/>
    <s v="2025-02-20"/>
    <x v="2"/>
    <x v="0"/>
    <s v="Office"/>
    <n v="1741.05"/>
    <n v="453.01"/>
    <n v="7"/>
    <n v="0.26019356135665261"/>
  </r>
  <r>
    <s v="ORD1160"/>
    <s v="2025-04-25"/>
    <x v="1"/>
    <x v="6"/>
    <s v="Furniture"/>
    <n v="3646.58"/>
    <n v="1128.48"/>
    <n v="3"/>
    <n v="0.30946256492384644"/>
  </r>
  <r>
    <s v="ORD1161"/>
    <s v="2025-12-01"/>
    <x v="0"/>
    <x v="6"/>
    <s v="Furniture"/>
    <n v="4836.96"/>
    <n v="1377.79"/>
    <n v="6"/>
    <n v="0.28484626707684163"/>
  </r>
  <r>
    <s v="ORD1162"/>
    <s v="2025-11-24"/>
    <x v="0"/>
    <x v="7"/>
    <s v="Electronics"/>
    <n v="574.33000000000004"/>
    <n v="62.75"/>
    <n v="3"/>
    <n v="0.10925774380582591"/>
  </r>
  <r>
    <s v="ORD1163"/>
    <s v="2025-10-24"/>
    <x v="0"/>
    <x v="5"/>
    <s v="Furniture"/>
    <n v="4483.3599999999997"/>
    <n v="1487.32"/>
    <n v="2"/>
    <n v="0.33174226473002394"/>
  </r>
  <r>
    <s v="ORD1164"/>
    <s v="2025-12-25"/>
    <x v="3"/>
    <x v="2"/>
    <s v="Office"/>
    <n v="3431.1"/>
    <n v="956.28"/>
    <n v="3"/>
    <n v="0.27870945177931278"/>
  </r>
  <r>
    <s v="ORD1165"/>
    <s v="2025-08-04"/>
    <x v="3"/>
    <x v="0"/>
    <s v="Office"/>
    <n v="3146.36"/>
    <n v="420.77"/>
    <n v="1"/>
    <n v="0.13373231289490076"/>
  </r>
  <r>
    <s v="ORD1166"/>
    <s v="2025-09-01"/>
    <x v="1"/>
    <x v="2"/>
    <s v="Office"/>
    <n v="2149.98"/>
    <n v="662.99"/>
    <n v="2"/>
    <n v="0.30837031042149232"/>
  </r>
  <r>
    <s v="ORD1167"/>
    <s v="2025-06-08"/>
    <x v="0"/>
    <x v="1"/>
    <s v="Electronics"/>
    <n v="1161.97"/>
    <n v="302.95999999999998"/>
    <n v="4"/>
    <n v="0.26072962296789071"/>
  </r>
  <r>
    <s v="ORD1168"/>
    <s v="2025-03-24"/>
    <x v="1"/>
    <x v="4"/>
    <s v="Electronics"/>
    <n v="4279.9399999999996"/>
    <n v="265.95999999999998"/>
    <n v="5"/>
    <n v="6.2141058052215689E-2"/>
  </r>
  <r>
    <s v="ORD1169"/>
    <s v="2025-08-31"/>
    <x v="0"/>
    <x v="0"/>
    <s v="Office"/>
    <n v="3696.26"/>
    <n v="963.39"/>
    <n v="7"/>
    <n v="0.26063913252855586"/>
  </r>
  <r>
    <s v="ORD1170"/>
    <s v="2025-03-16"/>
    <x v="0"/>
    <x v="4"/>
    <s v="Electronics"/>
    <n v="1017.29"/>
    <n v="147.31"/>
    <n v="8"/>
    <n v="0.14480629908875542"/>
  </r>
  <r>
    <s v="ORD1171"/>
    <s v="2025-02-24"/>
    <x v="3"/>
    <x v="3"/>
    <s v="Office"/>
    <n v="3881.45"/>
    <n v="318.26"/>
    <n v="10"/>
    <n v="8.1995130685697359E-2"/>
  </r>
  <r>
    <s v="ORD1172"/>
    <s v="2025-01-06"/>
    <x v="1"/>
    <x v="2"/>
    <s v="Office"/>
    <n v="4136.1899999999996"/>
    <n v="439.4"/>
    <n v="4"/>
    <n v="0.10623303088107655"/>
  </r>
  <r>
    <s v="ORD1173"/>
    <s v="2025-08-04"/>
    <x v="0"/>
    <x v="7"/>
    <s v="Electronics"/>
    <n v="2583.29"/>
    <n v="469.27"/>
    <n v="6"/>
    <n v="0.18165595035787696"/>
  </r>
  <r>
    <s v="ORD1174"/>
    <s v="2025-08-22"/>
    <x v="1"/>
    <x v="5"/>
    <s v="Furniture"/>
    <n v="439.93"/>
    <n v="48.53"/>
    <n v="5"/>
    <n v="0.1103130043415998"/>
  </r>
  <r>
    <s v="ORD1175"/>
    <s v="2025-01-18"/>
    <x v="2"/>
    <x v="6"/>
    <s v="Furniture"/>
    <n v="2970.5"/>
    <n v="911.63"/>
    <n v="1"/>
    <n v="0.30689446221174888"/>
  </r>
  <r>
    <s v="ORD1176"/>
    <s v="2025-01-26"/>
    <x v="0"/>
    <x v="3"/>
    <s v="Office"/>
    <n v="2720.55"/>
    <n v="728.26"/>
    <n v="4"/>
    <n v="0.26768851886567052"/>
  </r>
  <r>
    <s v="ORD1177"/>
    <s v="2025-07-06"/>
    <x v="0"/>
    <x v="1"/>
    <s v="Electronics"/>
    <n v="2693.52"/>
    <n v="772.68"/>
    <n v="4"/>
    <n v="0.28686625679408356"/>
  </r>
  <r>
    <s v="ORD1178"/>
    <s v="2025-09-07"/>
    <x v="2"/>
    <x v="4"/>
    <s v="Electronics"/>
    <n v="2426.1"/>
    <n v="676.16"/>
    <n v="4"/>
    <n v="0.27870244425209184"/>
  </r>
  <r>
    <s v="ORD1179"/>
    <s v="2025-08-18"/>
    <x v="0"/>
    <x v="5"/>
    <s v="Furniture"/>
    <n v="397.89"/>
    <n v="92.53"/>
    <n v="6"/>
    <n v="0.23255171027168314"/>
  </r>
  <r>
    <s v="ORD1180"/>
    <s v="2025-03-11"/>
    <x v="1"/>
    <x v="4"/>
    <s v="Electronics"/>
    <n v="524.01"/>
    <n v="175.83"/>
    <n v="4"/>
    <n v="0.33554703154519955"/>
  </r>
  <r>
    <s v="ORD1181"/>
    <s v="2025-04-13"/>
    <x v="1"/>
    <x v="7"/>
    <s v="Electronics"/>
    <n v="4709.63"/>
    <n v="912.96"/>
    <n v="4"/>
    <n v="0.19384962300647821"/>
  </r>
  <r>
    <s v="ORD1182"/>
    <s v="2025-04-30"/>
    <x v="0"/>
    <x v="1"/>
    <s v="Electronics"/>
    <n v="367.49"/>
    <n v="40.64"/>
    <n v="1"/>
    <n v="0.11058804321206019"/>
  </r>
  <r>
    <s v="ORD1183"/>
    <s v="2025-09-06"/>
    <x v="0"/>
    <x v="1"/>
    <s v="Electronics"/>
    <n v="3059.05"/>
    <n v="337.9"/>
    <n v="9"/>
    <n v="0.11045912946829897"/>
  </r>
  <r>
    <s v="ORD1184"/>
    <s v="2025-04-01"/>
    <x v="2"/>
    <x v="6"/>
    <s v="Furniture"/>
    <n v="4290.1400000000003"/>
    <n v="487.59"/>
    <n v="5"/>
    <n v="0.11365363368095212"/>
  </r>
  <r>
    <s v="ORD1185"/>
    <s v="2025-06-05"/>
    <x v="2"/>
    <x v="3"/>
    <s v="Office"/>
    <n v="1454.08"/>
    <n v="358.74"/>
    <n v="6"/>
    <n v="0.24671269806338031"/>
  </r>
  <r>
    <s v="ORD1186"/>
    <s v="2025-07-07"/>
    <x v="0"/>
    <x v="6"/>
    <s v="Furniture"/>
    <n v="1084.01"/>
    <n v="325.29000000000002"/>
    <n v="9"/>
    <n v="0.30008025756219964"/>
  </r>
  <r>
    <s v="ORD1187"/>
    <s v="2025-05-04"/>
    <x v="2"/>
    <x v="2"/>
    <s v="Office"/>
    <n v="4523.87"/>
    <n v="946.13"/>
    <n v="7"/>
    <n v="0.20914173042107753"/>
  </r>
  <r>
    <s v="ORD1188"/>
    <s v="2025-11-04"/>
    <x v="3"/>
    <x v="0"/>
    <s v="Office"/>
    <n v="1374.05"/>
    <n v="372.97"/>
    <n v="4"/>
    <n v="0.27143844838251885"/>
  </r>
  <r>
    <s v="ORD1189"/>
    <s v="2025-09-15"/>
    <x v="3"/>
    <x v="3"/>
    <s v="Office"/>
    <n v="4900.4799999999996"/>
    <n v="1681.89"/>
    <n v="8"/>
    <n v="0.34320923664620612"/>
  </r>
  <r>
    <s v="ORD1190"/>
    <s v="2025-07-02"/>
    <x v="0"/>
    <x v="5"/>
    <s v="Furniture"/>
    <n v="2227.11"/>
    <n v="695.52"/>
    <n v="1"/>
    <n v="0.31229710252300064"/>
  </r>
  <r>
    <s v="ORD1191"/>
    <s v="2025-12-13"/>
    <x v="2"/>
    <x v="6"/>
    <s v="Furniture"/>
    <n v="1701.66"/>
    <n v="331.82"/>
    <n v="9"/>
    <n v="0.19499782565259804"/>
  </r>
  <r>
    <s v="ORD1192"/>
    <s v="2025-03-29"/>
    <x v="0"/>
    <x v="2"/>
    <s v="Office"/>
    <n v="1994.73"/>
    <n v="337.77"/>
    <n v="6"/>
    <n v="0.16933118767953556"/>
  </r>
  <r>
    <s v="ORD1193"/>
    <s v="2025-04-23"/>
    <x v="2"/>
    <x v="1"/>
    <s v="Electronics"/>
    <n v="3451.3"/>
    <n v="411.9"/>
    <n v="9"/>
    <n v="0.11934633326572594"/>
  </r>
  <r>
    <s v="ORD1194"/>
    <s v="2025-10-03"/>
    <x v="0"/>
    <x v="0"/>
    <s v="Office"/>
    <n v="3785.92"/>
    <n v="1006.62"/>
    <n v="1"/>
    <n v="0.26588517454145888"/>
  </r>
  <r>
    <s v="ORD1195"/>
    <s v="2025-10-01"/>
    <x v="1"/>
    <x v="4"/>
    <s v="Electronics"/>
    <n v="1885.71"/>
    <n v="527.62"/>
    <n v="9"/>
    <n v="0.27979912075557745"/>
  </r>
  <r>
    <s v="ORD1196"/>
    <s v="2025-03-15"/>
    <x v="1"/>
    <x v="4"/>
    <s v="Electronics"/>
    <n v="4210.7299999999996"/>
    <n v="683.74"/>
    <n v="8"/>
    <n v="0.16238039484839922"/>
  </r>
  <r>
    <s v="ORD1197"/>
    <s v="2025-05-29"/>
    <x v="0"/>
    <x v="3"/>
    <s v="Office"/>
    <n v="2628.04"/>
    <n v="206.29"/>
    <n v="7"/>
    <n v="7.8495761099526648E-2"/>
  </r>
  <r>
    <s v="ORD1198"/>
    <s v="2025-11-12"/>
    <x v="1"/>
    <x v="4"/>
    <s v="Electronics"/>
    <n v="4127.91"/>
    <n v="1338.09"/>
    <n v="1"/>
    <n v="0.32415677667391002"/>
  </r>
  <r>
    <s v="ORD1199"/>
    <s v="2025-09-14"/>
    <x v="0"/>
    <x v="4"/>
    <s v="Electronics"/>
    <n v="147.15"/>
    <n v="15.71"/>
    <n v="6"/>
    <n v="0.10676180767923887"/>
  </r>
  <r>
    <s v="ORD1200"/>
    <s v="2025-06-21"/>
    <x v="0"/>
    <x v="0"/>
    <s v="Office"/>
    <n v="2719.99"/>
    <n v="569.53"/>
    <n v="10"/>
    <n v="0.20938679921617359"/>
  </r>
  <r>
    <s v="ORD1201"/>
    <s v="2025-09-12"/>
    <x v="1"/>
    <x v="7"/>
    <s v="Electronics"/>
    <n v="533.91"/>
    <n v="85.82"/>
    <n v="3"/>
    <n v="0.16073870127924181"/>
  </r>
  <r>
    <s v="ORD1202"/>
    <s v="2025-07-08"/>
    <x v="0"/>
    <x v="3"/>
    <s v="Office"/>
    <n v="1969.39"/>
    <n v="601.1"/>
    <n v="5"/>
    <n v="0.30522141373724859"/>
  </r>
  <r>
    <s v="ORD1203"/>
    <s v="2025-12-23"/>
    <x v="0"/>
    <x v="4"/>
    <s v="Electronics"/>
    <n v="2969.66"/>
    <n v="955.71"/>
    <n v="2"/>
    <n v="0.32182472067509416"/>
  </r>
  <r>
    <s v="ORD1204"/>
    <s v="2025-08-04"/>
    <x v="2"/>
    <x v="3"/>
    <s v="Office"/>
    <n v="3105.06"/>
    <n v="897.58"/>
    <n v="10"/>
    <n v="0.28907009848440934"/>
  </r>
  <r>
    <s v="ORD1205"/>
    <s v="2025-03-10"/>
    <x v="1"/>
    <x v="7"/>
    <s v="Electronics"/>
    <n v="1791.26"/>
    <n v="416.7"/>
    <n v="5"/>
    <n v="0.2326295456829271"/>
  </r>
  <r>
    <s v="ORD1206"/>
    <s v="2025-12-03"/>
    <x v="2"/>
    <x v="2"/>
    <s v="Office"/>
    <n v="3045.62"/>
    <n v="715.6"/>
    <n v="8"/>
    <n v="0.23496036931724906"/>
  </r>
  <r>
    <s v="ORD1207"/>
    <s v="2025-04-23"/>
    <x v="3"/>
    <x v="3"/>
    <s v="Office"/>
    <n v="4480.3999999999996"/>
    <n v="961.59"/>
    <n v="2"/>
    <n v="0.21462146236943133"/>
  </r>
  <r>
    <s v="ORD1208"/>
    <s v="2025-04-24"/>
    <x v="0"/>
    <x v="2"/>
    <s v="Office"/>
    <n v="2371.6"/>
    <n v="765.26"/>
    <n v="8"/>
    <n v="0.32267667397537531"/>
  </r>
  <r>
    <s v="ORD1209"/>
    <s v="2025-06-11"/>
    <x v="3"/>
    <x v="6"/>
    <s v="Furniture"/>
    <n v="3926.32"/>
    <n v="304.67"/>
    <n v="7"/>
    <n v="7.759683367631777E-2"/>
  </r>
  <r>
    <s v="ORD1210"/>
    <s v="2025-12-28"/>
    <x v="1"/>
    <x v="3"/>
    <s v="Office"/>
    <n v="4376.9799999999996"/>
    <n v="1344.49"/>
    <n v="10"/>
    <n v="0.30717298228458895"/>
  </r>
  <r>
    <s v="ORD1211"/>
    <s v="2025-07-14"/>
    <x v="1"/>
    <x v="3"/>
    <s v="Office"/>
    <n v="407.49"/>
    <n v="116.23"/>
    <n v="4"/>
    <n v="0.28523399347223244"/>
  </r>
  <r>
    <s v="ORD1212"/>
    <s v="2025-12-19"/>
    <x v="2"/>
    <x v="3"/>
    <s v="Office"/>
    <n v="1496.32"/>
    <n v="317.98"/>
    <n v="1"/>
    <n v="0.21250801967493588"/>
  </r>
  <r>
    <s v="ORD1213"/>
    <s v="2025-05-29"/>
    <x v="1"/>
    <x v="2"/>
    <s v="Office"/>
    <n v="1941.2"/>
    <n v="289.69"/>
    <n v="5"/>
    <n v="0.14923243354626003"/>
  </r>
  <r>
    <s v="ORD1214"/>
    <s v="2025-01-19"/>
    <x v="0"/>
    <x v="7"/>
    <s v="Electronics"/>
    <n v="3335.34"/>
    <n v="1143.1400000000001"/>
    <n v="10"/>
    <n v="0.34273567312477887"/>
  </r>
  <r>
    <s v="ORD1215"/>
    <s v="2025-03-20"/>
    <x v="3"/>
    <x v="5"/>
    <s v="Furniture"/>
    <n v="3038.84"/>
    <n v="216.57"/>
    <n v="7"/>
    <n v="7.1267325690065941E-2"/>
  </r>
  <r>
    <s v="ORD1216"/>
    <s v="2025-11-06"/>
    <x v="3"/>
    <x v="0"/>
    <s v="Office"/>
    <n v="1394.93"/>
    <n v="223.75"/>
    <n v="8"/>
    <n v="0.16040231409461406"/>
  </r>
  <r>
    <s v="ORD1217"/>
    <s v="2025-12-09"/>
    <x v="3"/>
    <x v="1"/>
    <s v="Electronics"/>
    <n v="985.5"/>
    <n v="259.22000000000003"/>
    <n v="3"/>
    <n v="0.26303399289700663"/>
  </r>
  <r>
    <s v="ORD1218"/>
    <s v="2025-11-17"/>
    <x v="1"/>
    <x v="3"/>
    <s v="Office"/>
    <n v="2087.85"/>
    <n v="416.72"/>
    <n v="3"/>
    <n v="0.19959288263045719"/>
  </r>
  <r>
    <s v="ORD1219"/>
    <s v="2025-06-16"/>
    <x v="1"/>
    <x v="4"/>
    <s v="Electronics"/>
    <n v="1016.92"/>
    <n v="127.07"/>
    <n v="1"/>
    <n v="0.12495574873146363"/>
  </r>
  <r>
    <s v="ORD1220"/>
    <s v="2025-10-03"/>
    <x v="3"/>
    <x v="2"/>
    <s v="Office"/>
    <n v="125.23"/>
    <n v="34.700000000000003"/>
    <n v="6"/>
    <n v="0.27709015411642579"/>
  </r>
  <r>
    <s v="ORD1221"/>
    <s v="2025-01-31"/>
    <x v="3"/>
    <x v="2"/>
    <s v="Office"/>
    <n v="3212.5"/>
    <n v="208.22"/>
    <n v="2"/>
    <n v="6.4815564202334627E-2"/>
  </r>
  <r>
    <s v="ORD1222"/>
    <s v="2025-02-11"/>
    <x v="2"/>
    <x v="1"/>
    <s v="Electronics"/>
    <n v="3132.32"/>
    <n v="620.39"/>
    <n v="8"/>
    <n v="0.19806086223629768"/>
  </r>
  <r>
    <s v="ORD1223"/>
    <s v="2025-10-01"/>
    <x v="0"/>
    <x v="7"/>
    <s v="Electronics"/>
    <n v="1253.0999999999999"/>
    <n v="73.42"/>
    <n v="6"/>
    <n v="5.8590695076211001E-2"/>
  </r>
  <r>
    <s v="ORD1224"/>
    <s v="2025-09-22"/>
    <x v="3"/>
    <x v="6"/>
    <s v="Furniture"/>
    <n v="3123.2"/>
    <n v="1022.91"/>
    <n v="5"/>
    <n v="0.32751985143442625"/>
  </r>
  <r>
    <s v="ORD1225"/>
    <s v="2025-08-15"/>
    <x v="1"/>
    <x v="4"/>
    <s v="Electronics"/>
    <n v="3552"/>
    <n v="1150.75"/>
    <n v="7"/>
    <n v="0.32397240990990989"/>
  </r>
  <r>
    <s v="ORD1226"/>
    <s v="2025-07-20"/>
    <x v="2"/>
    <x v="4"/>
    <s v="Electronics"/>
    <n v="1608.64"/>
    <n v="379.18"/>
    <n v="5"/>
    <n v="0.23571464093892977"/>
  </r>
  <r>
    <s v="ORD1227"/>
    <s v="2025-01-10"/>
    <x v="3"/>
    <x v="6"/>
    <s v="Furniture"/>
    <n v="1814.31"/>
    <n v="162.63"/>
    <n v="3"/>
    <n v="8.9637382806686844E-2"/>
  </r>
  <r>
    <s v="ORD1228"/>
    <s v="2025-03-19"/>
    <x v="1"/>
    <x v="6"/>
    <s v="Furniture"/>
    <n v="2243"/>
    <n v="710.57"/>
    <n v="3"/>
    <n v="0.31679447168970132"/>
  </r>
  <r>
    <s v="ORD1229"/>
    <s v="2025-07-25"/>
    <x v="0"/>
    <x v="7"/>
    <s v="Electronics"/>
    <n v="1236.55"/>
    <n v="301.33999999999997"/>
    <n v="2"/>
    <n v="0.24369414904371031"/>
  </r>
  <r>
    <s v="ORD1230"/>
    <s v="2025-10-04"/>
    <x v="1"/>
    <x v="4"/>
    <s v="Electronics"/>
    <n v="4792.71"/>
    <n v="1464.27"/>
    <n v="8"/>
    <n v="0.30552025889319401"/>
  </r>
  <r>
    <s v="ORD1231"/>
    <s v="2025-02-04"/>
    <x v="0"/>
    <x v="1"/>
    <s v="Electronics"/>
    <n v="1473.29"/>
    <n v="84.28"/>
    <n v="2"/>
    <n v="5.7205302418396921E-2"/>
  </r>
  <r>
    <s v="ORD1232"/>
    <s v="2025-01-09"/>
    <x v="0"/>
    <x v="4"/>
    <s v="Electronics"/>
    <n v="567.52"/>
    <n v="78.900000000000006"/>
    <n v="4"/>
    <n v="0.13902593741189739"/>
  </r>
  <r>
    <s v="ORD1233"/>
    <s v="2025-07-22"/>
    <x v="1"/>
    <x v="7"/>
    <s v="Electronics"/>
    <n v="1061.1600000000001"/>
    <n v="86.99"/>
    <n v="10"/>
    <n v="8.1976327792227369E-2"/>
  </r>
  <r>
    <s v="ORD1234"/>
    <s v="2025-01-13"/>
    <x v="2"/>
    <x v="3"/>
    <s v="Office"/>
    <n v="4440.84"/>
    <n v="793.46"/>
    <n v="3"/>
    <n v="0.17867340413075003"/>
  </r>
  <r>
    <s v="ORD1235"/>
    <s v="2025-03-06"/>
    <x v="1"/>
    <x v="6"/>
    <s v="Furniture"/>
    <n v="895.3"/>
    <n v="77.27"/>
    <n v="7"/>
    <n v="8.6306266056070585E-2"/>
  </r>
  <r>
    <s v="ORD1236"/>
    <s v="2025-10-04"/>
    <x v="2"/>
    <x v="5"/>
    <s v="Furniture"/>
    <n v="1740.06"/>
    <n v="238.62"/>
    <n v="4"/>
    <n v="0.13713320230336887"/>
  </r>
  <r>
    <s v="ORD1237"/>
    <s v="2025-10-14"/>
    <x v="3"/>
    <x v="1"/>
    <s v="Electronics"/>
    <n v="2625.09"/>
    <n v="335.9"/>
    <n v="3"/>
    <n v="0.12795751764701399"/>
  </r>
  <r>
    <s v="ORD1238"/>
    <s v="2025-03-28"/>
    <x v="1"/>
    <x v="0"/>
    <s v="Office"/>
    <n v="1910.4"/>
    <n v="193.42"/>
    <n v="3"/>
    <n v="0.10124581239530987"/>
  </r>
  <r>
    <s v="ORD1239"/>
    <s v="2025-01-08"/>
    <x v="3"/>
    <x v="1"/>
    <s v="Electronics"/>
    <n v="4603.12"/>
    <n v="1603.05"/>
    <n v="6"/>
    <n v="0.34825292410365144"/>
  </r>
  <r>
    <s v="ORD1240"/>
    <s v="2025-10-25"/>
    <x v="1"/>
    <x v="3"/>
    <s v="Office"/>
    <n v="2081.6799999999998"/>
    <n v="290.23"/>
    <n v="2"/>
    <n v="0.13942104454094773"/>
  </r>
  <r>
    <s v="ORD1241"/>
    <s v="2025-03-26"/>
    <x v="1"/>
    <x v="3"/>
    <s v="Office"/>
    <n v="1221.6300000000001"/>
    <n v="245.41"/>
    <n v="1"/>
    <n v="0.20088733904701095"/>
  </r>
  <r>
    <s v="ORD1242"/>
    <s v="2025-01-21"/>
    <x v="0"/>
    <x v="5"/>
    <s v="Furniture"/>
    <n v="3032.26"/>
    <n v="704.52"/>
    <n v="7"/>
    <n v="0.23234155382454008"/>
  </r>
  <r>
    <s v="ORD1243"/>
    <s v="2025-08-18"/>
    <x v="2"/>
    <x v="6"/>
    <s v="Furniture"/>
    <n v="3745.62"/>
    <n v="1011.08"/>
    <n v="10"/>
    <n v="0.26993661930468121"/>
  </r>
  <r>
    <s v="ORD1244"/>
    <s v="2025-12-28"/>
    <x v="3"/>
    <x v="7"/>
    <s v="Electronics"/>
    <n v="4535.3900000000003"/>
    <n v="712.25"/>
    <n v="2"/>
    <n v="0.15704272399947963"/>
  </r>
  <r>
    <s v="ORD1245"/>
    <s v="2025-11-02"/>
    <x v="3"/>
    <x v="7"/>
    <s v="Electronics"/>
    <n v="4509.17"/>
    <n v="1556.02"/>
    <n v="7"/>
    <n v="0.34507902784769701"/>
  </r>
  <r>
    <s v="ORD1246"/>
    <s v="2025-02-20"/>
    <x v="0"/>
    <x v="3"/>
    <s v="Office"/>
    <n v="598.59"/>
    <n v="138.19"/>
    <n v="2"/>
    <n v="0.23085918575318665"/>
  </r>
  <r>
    <s v="ORD1247"/>
    <s v="2025-12-11"/>
    <x v="1"/>
    <x v="7"/>
    <s v="Electronics"/>
    <n v="2386.58"/>
    <n v="298.82"/>
    <n v="3"/>
    <n v="0.12520845729034855"/>
  </r>
  <r>
    <s v="ORD1248"/>
    <s v="2025-08-29"/>
    <x v="1"/>
    <x v="3"/>
    <s v="Office"/>
    <n v="4032.64"/>
    <n v="1356.29"/>
    <n v="3"/>
    <n v="0.33632806300587209"/>
  </r>
  <r>
    <s v="ORD1249"/>
    <s v="2025-09-24"/>
    <x v="0"/>
    <x v="1"/>
    <s v="Electronics"/>
    <n v="1164.69"/>
    <n v="68.91"/>
    <n v="5"/>
    <n v="5.9165958323674106E-2"/>
  </r>
  <r>
    <s v="ORD1250"/>
    <s v="2025-06-10"/>
    <x v="0"/>
    <x v="2"/>
    <s v="Office"/>
    <n v="4923.0200000000004"/>
    <n v="1337.48"/>
    <n v="9"/>
    <n v="0.27167876628573517"/>
  </r>
  <r>
    <s v="ORD1251"/>
    <s v="2025-08-21"/>
    <x v="3"/>
    <x v="3"/>
    <s v="Office"/>
    <n v="518.87"/>
    <n v="126.6"/>
    <n v="2"/>
    <n v="0.24399175130572204"/>
  </r>
  <r>
    <s v="ORD1252"/>
    <s v="2025-09-13"/>
    <x v="3"/>
    <x v="4"/>
    <s v="Electronics"/>
    <n v="3621.55"/>
    <n v="507.21"/>
    <n v="7"/>
    <n v="0.14005329209868703"/>
  </r>
  <r>
    <s v="ORD1253"/>
    <s v="2025-03-18"/>
    <x v="2"/>
    <x v="2"/>
    <s v="Office"/>
    <n v="4502.37"/>
    <n v="1522.81"/>
    <n v="9"/>
    <n v="0.33822409086769856"/>
  </r>
  <r>
    <s v="ORD1254"/>
    <s v="2025-03-22"/>
    <x v="1"/>
    <x v="7"/>
    <s v="Electronics"/>
    <n v="3063.89"/>
    <n v="171.88"/>
    <n v="1"/>
    <n v="5.6098619728515056E-2"/>
  </r>
  <r>
    <s v="ORD1255"/>
    <s v="2025-08-02"/>
    <x v="1"/>
    <x v="4"/>
    <s v="Electronics"/>
    <n v="4226.68"/>
    <n v="263.89999999999998"/>
    <n v="5"/>
    <n v="6.2436711556114959E-2"/>
  </r>
  <r>
    <s v="ORD1256"/>
    <s v="2025-10-10"/>
    <x v="1"/>
    <x v="5"/>
    <s v="Furniture"/>
    <n v="3118.94"/>
    <n v="848.43"/>
    <n v="1"/>
    <n v="0.27202511109543626"/>
  </r>
  <r>
    <s v="ORD1257"/>
    <s v="2025-09-26"/>
    <x v="0"/>
    <x v="4"/>
    <s v="Electronics"/>
    <n v="4033.34"/>
    <n v="1370.99"/>
    <n v="8"/>
    <n v="0.3399143141912162"/>
  </r>
  <r>
    <s v="ORD1258"/>
    <s v="2025-11-13"/>
    <x v="1"/>
    <x v="4"/>
    <s v="Electronics"/>
    <n v="295.22000000000003"/>
    <n v="48.31"/>
    <n v="5"/>
    <n v="0.16364067475103311"/>
  </r>
  <r>
    <s v="ORD1259"/>
    <s v="2025-02-27"/>
    <x v="2"/>
    <x v="6"/>
    <s v="Furniture"/>
    <n v="1423.44"/>
    <n v="479.18"/>
    <n v="8"/>
    <n v="0.33663519361546673"/>
  </r>
  <r>
    <s v="ORD1260"/>
    <s v="2025-06-18"/>
    <x v="2"/>
    <x v="2"/>
    <s v="Office"/>
    <n v="2438.08"/>
    <n v="311.83"/>
    <n v="8"/>
    <n v="0.12789982281139256"/>
  </r>
  <r>
    <s v="ORD1261"/>
    <s v="2025-04-11"/>
    <x v="3"/>
    <x v="1"/>
    <s v="Electronics"/>
    <n v="1464.81"/>
    <n v="277.77"/>
    <n v="5"/>
    <n v="0.18962868904499558"/>
  </r>
  <r>
    <s v="ORD1262"/>
    <s v="2025-09-22"/>
    <x v="1"/>
    <x v="1"/>
    <s v="Electronics"/>
    <n v="2080.44"/>
    <n v="173.2"/>
    <n v="8"/>
    <n v="8.3251619849647185E-2"/>
  </r>
  <r>
    <s v="ORD1263"/>
    <s v="2025-08-18"/>
    <x v="2"/>
    <x v="0"/>
    <s v="Office"/>
    <n v="1998.16"/>
    <n v="158.81"/>
    <n v="10"/>
    <n v="7.9478119870280653E-2"/>
  </r>
  <r>
    <s v="ORD1264"/>
    <s v="2025-09-01"/>
    <x v="0"/>
    <x v="1"/>
    <s v="Electronics"/>
    <n v="3757.44"/>
    <n v="660.46"/>
    <n v="6"/>
    <n v="0.17577393118719128"/>
  </r>
  <r>
    <s v="ORD1265"/>
    <s v="2025-12-24"/>
    <x v="1"/>
    <x v="4"/>
    <s v="Electronics"/>
    <n v="1256.74"/>
    <n v="295.87"/>
    <n v="8"/>
    <n v="0.23542657988128013"/>
  </r>
  <r>
    <s v="ORD1266"/>
    <s v="2025-07-11"/>
    <x v="1"/>
    <x v="3"/>
    <s v="Office"/>
    <n v="1427.32"/>
    <n v="488.68"/>
    <n v="4"/>
    <n v="0.34237592130706501"/>
  </r>
  <r>
    <s v="ORD1267"/>
    <s v="2025-07-10"/>
    <x v="3"/>
    <x v="2"/>
    <s v="Office"/>
    <n v="3639.23"/>
    <n v="685.12"/>
    <n v="9"/>
    <n v="0.18825960436685782"/>
  </r>
  <r>
    <s v="ORD1268"/>
    <s v="2025-06-27"/>
    <x v="2"/>
    <x v="3"/>
    <s v="Office"/>
    <n v="3653.54"/>
    <n v="276.64999999999998"/>
    <n v="5"/>
    <n v="7.5721081471668575E-2"/>
  </r>
  <r>
    <s v="ORD1269"/>
    <s v="2025-06-29"/>
    <x v="0"/>
    <x v="7"/>
    <s v="Electronics"/>
    <n v="907.32"/>
    <n v="214.25"/>
    <n v="7"/>
    <n v="0.23613499096239474"/>
  </r>
  <r>
    <s v="ORD1270"/>
    <s v="2025-08-24"/>
    <x v="1"/>
    <x v="6"/>
    <s v="Furniture"/>
    <n v="600.09"/>
    <n v="93.69"/>
    <n v="1"/>
    <n v="0.15612658101284807"/>
  </r>
  <r>
    <s v="ORD1271"/>
    <s v="2025-07-31"/>
    <x v="3"/>
    <x v="1"/>
    <s v="Electronics"/>
    <n v="2120.4899999999998"/>
    <n v="518.4"/>
    <n v="9"/>
    <n v="0.24447179661304699"/>
  </r>
  <r>
    <s v="ORD1272"/>
    <s v="2025-03-17"/>
    <x v="1"/>
    <x v="3"/>
    <s v="Office"/>
    <n v="3002.41"/>
    <n v="868.3"/>
    <n v="2"/>
    <n v="0.28920100852315306"/>
  </r>
  <r>
    <s v="ORD1273"/>
    <s v="2025-10-26"/>
    <x v="3"/>
    <x v="0"/>
    <s v="Office"/>
    <n v="2234.2199999999998"/>
    <n v="539.47"/>
    <n v="7"/>
    <n v="0.24145786896545554"/>
  </r>
  <r>
    <s v="ORD1274"/>
    <s v="2025-02-08"/>
    <x v="3"/>
    <x v="1"/>
    <s v="Electronics"/>
    <n v="3723.54"/>
    <n v="946.14"/>
    <n v="6"/>
    <n v="0.25409690778130489"/>
  </r>
  <r>
    <s v="ORD1275"/>
    <s v="2025-12-27"/>
    <x v="3"/>
    <x v="4"/>
    <s v="Electronics"/>
    <n v="429.88"/>
    <n v="149.27000000000001"/>
    <n v="8"/>
    <n v="0.34723643807574212"/>
  </r>
  <r>
    <s v="ORD1276"/>
    <s v="2025-12-11"/>
    <x v="2"/>
    <x v="3"/>
    <s v="Office"/>
    <n v="1474.99"/>
    <n v="464.08"/>
    <n v="7"/>
    <n v="0.31463264157723103"/>
  </r>
  <r>
    <s v="ORD1277"/>
    <s v="2025-08-13"/>
    <x v="0"/>
    <x v="7"/>
    <s v="Electronics"/>
    <n v="2766.88"/>
    <n v="756.89"/>
    <n v="7"/>
    <n v="0.27355360550511765"/>
  </r>
  <r>
    <s v="ORD1278"/>
    <s v="2025-07-25"/>
    <x v="1"/>
    <x v="4"/>
    <s v="Electronics"/>
    <n v="1377.38"/>
    <n v="103.54"/>
    <n v="6"/>
    <n v="7.5171702798065898E-2"/>
  </r>
  <r>
    <s v="ORD1279"/>
    <s v="2025-09-15"/>
    <x v="1"/>
    <x v="5"/>
    <s v="Furniture"/>
    <n v="641.16"/>
    <n v="214.79"/>
    <n v="3"/>
    <n v="0.33500218354232952"/>
  </r>
  <r>
    <s v="ORD1280"/>
    <s v="2025-10-24"/>
    <x v="1"/>
    <x v="3"/>
    <s v="Office"/>
    <n v="1772.45"/>
    <n v="514.26"/>
    <n v="5"/>
    <n v="0.29014076560692825"/>
  </r>
  <r>
    <s v="ORD1281"/>
    <s v="2025-08-23"/>
    <x v="1"/>
    <x v="5"/>
    <s v="Furniture"/>
    <n v="1885.62"/>
    <n v="416.79"/>
    <n v="10"/>
    <n v="0.22103605180259014"/>
  </r>
  <r>
    <s v="ORD1282"/>
    <s v="2025-10-15"/>
    <x v="3"/>
    <x v="3"/>
    <s v="Office"/>
    <n v="151.62"/>
    <n v="21.58"/>
    <n v="8"/>
    <n v="0.1423295079804775"/>
  </r>
  <r>
    <s v="ORD1283"/>
    <s v="2025-02-18"/>
    <x v="3"/>
    <x v="0"/>
    <s v="Office"/>
    <n v="993.17"/>
    <n v="244.9"/>
    <n v="8"/>
    <n v="0.24658416988028234"/>
  </r>
  <r>
    <s v="ORD1284"/>
    <s v="2025-12-25"/>
    <x v="3"/>
    <x v="2"/>
    <s v="Office"/>
    <n v="4946.41"/>
    <n v="1250.83"/>
    <n v="1"/>
    <n v="0.25287632848874231"/>
  </r>
  <r>
    <s v="ORD1285"/>
    <s v="2025-11-24"/>
    <x v="3"/>
    <x v="7"/>
    <s v="Electronics"/>
    <n v="2074.79"/>
    <n v="604.63"/>
    <n v="9"/>
    <n v="0.29141744465704961"/>
  </r>
  <r>
    <s v="ORD1286"/>
    <s v="2025-09-14"/>
    <x v="0"/>
    <x v="6"/>
    <s v="Furniture"/>
    <n v="349.79"/>
    <n v="20.28"/>
    <n v="5"/>
    <n v="5.79776437290946E-2"/>
  </r>
  <r>
    <s v="ORD1287"/>
    <s v="2025-08-22"/>
    <x v="2"/>
    <x v="1"/>
    <s v="Electronics"/>
    <n v="565.48"/>
    <n v="39.14"/>
    <n v="9"/>
    <n v="6.9215533705878185E-2"/>
  </r>
  <r>
    <s v="ORD1288"/>
    <s v="2025-06-23"/>
    <x v="0"/>
    <x v="4"/>
    <s v="Electronics"/>
    <n v="3632.99"/>
    <n v="218.73"/>
    <n v="1"/>
    <n v="6.0206606679346762E-2"/>
  </r>
  <r>
    <s v="ORD1289"/>
    <s v="2025-03-27"/>
    <x v="3"/>
    <x v="1"/>
    <s v="Electronics"/>
    <n v="981.65"/>
    <n v="72.400000000000006"/>
    <n v="5"/>
    <n v="7.3753374420618356E-2"/>
  </r>
  <r>
    <s v="ORD1290"/>
    <s v="2025-04-02"/>
    <x v="1"/>
    <x v="2"/>
    <s v="Office"/>
    <n v="1636.1"/>
    <n v="107.28"/>
    <n v="3"/>
    <n v="6.5570564146445826E-2"/>
  </r>
  <r>
    <s v="ORD1291"/>
    <s v="2025-01-22"/>
    <x v="0"/>
    <x v="5"/>
    <s v="Furniture"/>
    <n v="1272.0899999999999"/>
    <n v="302.88"/>
    <n v="5"/>
    <n v="0.23809636110652549"/>
  </r>
  <r>
    <s v="ORD1292"/>
    <s v="2025-05-14"/>
    <x v="1"/>
    <x v="0"/>
    <s v="Office"/>
    <n v="528.1"/>
    <n v="151.81"/>
    <n v="8"/>
    <n v="0.2874644953607271"/>
  </r>
  <r>
    <s v="ORD1293"/>
    <s v="2025-10-27"/>
    <x v="2"/>
    <x v="7"/>
    <s v="Electronics"/>
    <n v="3541.77"/>
    <n v="568.67999999999995"/>
    <n v="4"/>
    <n v="0.16056378590365833"/>
  </r>
  <r>
    <s v="ORD1294"/>
    <s v="2025-02-27"/>
    <x v="2"/>
    <x v="2"/>
    <s v="Office"/>
    <n v="2687.1"/>
    <n v="866.27"/>
    <n v="3"/>
    <n v="0.32238100554501137"/>
  </r>
  <r>
    <s v="ORD1295"/>
    <s v="2025-08-23"/>
    <x v="1"/>
    <x v="4"/>
    <s v="Electronics"/>
    <n v="1792.92"/>
    <n v="96.61"/>
    <n v="4"/>
    <n v="5.388416661089173E-2"/>
  </r>
  <r>
    <s v="ORD1296"/>
    <s v="2025-04-21"/>
    <x v="1"/>
    <x v="1"/>
    <s v="Electronics"/>
    <n v="2754.06"/>
    <n v="441.17"/>
    <n v="2"/>
    <n v="0.16018895739381134"/>
  </r>
  <r>
    <s v="ORD1297"/>
    <s v="2025-08-04"/>
    <x v="1"/>
    <x v="3"/>
    <s v="Office"/>
    <n v="3964.85"/>
    <n v="898.12"/>
    <n v="5"/>
    <n v="0.22652054932721288"/>
  </r>
  <r>
    <s v="ORD1298"/>
    <s v="2025-04-03"/>
    <x v="3"/>
    <x v="2"/>
    <s v="Office"/>
    <n v="1879.57"/>
    <n v="298.67"/>
    <n v="4"/>
    <n v="0.15890336619545961"/>
  </r>
  <r>
    <s v="ORD1299"/>
    <s v="2025-04-24"/>
    <x v="0"/>
    <x v="4"/>
    <s v="Electronics"/>
    <n v="1845.78"/>
    <n v="285.77"/>
    <n v="1"/>
    <n v="0.15482343507893681"/>
  </r>
  <r>
    <s v="ORD1300"/>
    <s v="2025-05-14"/>
    <x v="0"/>
    <x v="4"/>
    <s v="Electronics"/>
    <n v="4494.57"/>
    <n v="1497.15"/>
    <n v="8"/>
    <n v="0.33310194301123358"/>
  </r>
  <r>
    <s v="ORD1301"/>
    <s v="2025-09-17"/>
    <x v="3"/>
    <x v="4"/>
    <s v="Electronics"/>
    <n v="3674.19"/>
    <n v="1166.52"/>
    <n v="9"/>
    <n v="0.31749038563601772"/>
  </r>
  <r>
    <s v="ORD1302"/>
    <s v="2025-09-13"/>
    <x v="3"/>
    <x v="2"/>
    <s v="Office"/>
    <n v="3568.48"/>
    <n v="775.51"/>
    <n v="5"/>
    <n v="0.21732222122584405"/>
  </r>
  <r>
    <s v="ORD1303"/>
    <s v="2025-12-17"/>
    <x v="3"/>
    <x v="7"/>
    <s v="Electronics"/>
    <n v="1905.35"/>
    <n v="550.85"/>
    <n v="4"/>
    <n v="0.28910698821738789"/>
  </r>
  <r>
    <s v="ORD1304"/>
    <s v="2025-10-14"/>
    <x v="1"/>
    <x v="5"/>
    <s v="Furniture"/>
    <n v="403.34"/>
    <n v="37.75"/>
    <n v="3"/>
    <n v="9.3593494322407905E-2"/>
  </r>
  <r>
    <s v="ORD1305"/>
    <s v="2025-07-04"/>
    <x v="0"/>
    <x v="2"/>
    <s v="Office"/>
    <n v="270.63"/>
    <n v="31.63"/>
    <n v="9"/>
    <n v="0.11687543879096922"/>
  </r>
  <r>
    <s v="ORD1306"/>
    <s v="2025-04-22"/>
    <x v="0"/>
    <x v="1"/>
    <s v="Electronics"/>
    <n v="498.46"/>
    <n v="36.76"/>
    <n v="9"/>
    <n v="7.3747141194880225E-2"/>
  </r>
  <r>
    <s v="ORD1307"/>
    <s v="2025-02-03"/>
    <x v="1"/>
    <x v="5"/>
    <s v="Furniture"/>
    <n v="4524.46"/>
    <n v="945.4"/>
    <n v="9"/>
    <n v="0.20895311263664612"/>
  </r>
  <r>
    <s v="ORD1308"/>
    <s v="2025-08-28"/>
    <x v="0"/>
    <x v="0"/>
    <s v="Office"/>
    <n v="723.28"/>
    <n v="216.59"/>
    <n v="9"/>
    <n v="0.29945525937396306"/>
  </r>
  <r>
    <s v="ORD1309"/>
    <s v="2025-07-07"/>
    <x v="1"/>
    <x v="6"/>
    <s v="Furniture"/>
    <n v="2612.59"/>
    <n v="458.67"/>
    <n v="8"/>
    <n v="0.17556141606604939"/>
  </r>
  <r>
    <s v="ORD1310"/>
    <s v="2025-07-22"/>
    <x v="1"/>
    <x v="2"/>
    <s v="Office"/>
    <n v="4215.13"/>
    <n v="254.63"/>
    <n v="7"/>
    <n v="6.0408575773463688E-2"/>
  </r>
  <r>
    <s v="ORD1311"/>
    <s v="2025-11-18"/>
    <x v="0"/>
    <x v="5"/>
    <s v="Furniture"/>
    <n v="4580.26"/>
    <n v="1268.57"/>
    <n v="10"/>
    <n v="0.27696462646225323"/>
  </r>
  <r>
    <s v="ORD1312"/>
    <s v="2025-10-18"/>
    <x v="3"/>
    <x v="0"/>
    <s v="Office"/>
    <n v="4861.67"/>
    <n v="1277.48"/>
    <n v="3"/>
    <n v="0.26276567516923199"/>
  </r>
  <r>
    <s v="ORD1313"/>
    <s v="2025-06-05"/>
    <x v="2"/>
    <x v="6"/>
    <s v="Furniture"/>
    <n v="278.87"/>
    <n v="64.88"/>
    <n v="3"/>
    <n v="0.23265320758776489"/>
  </r>
  <r>
    <s v="ORD1314"/>
    <s v="2025-07-28"/>
    <x v="2"/>
    <x v="6"/>
    <s v="Furniture"/>
    <n v="4781.08"/>
    <n v="936.22"/>
    <n v="10"/>
    <n v="0.19581768136069674"/>
  </r>
  <r>
    <s v="ORD1315"/>
    <s v="2025-07-05"/>
    <x v="2"/>
    <x v="4"/>
    <s v="Electronics"/>
    <n v="4579.8999999999996"/>
    <n v="470.34"/>
    <n v="10"/>
    <n v="0.10269656542719274"/>
  </r>
  <r>
    <s v="ORD1316"/>
    <s v="2025-10-02"/>
    <x v="2"/>
    <x v="1"/>
    <s v="Electronics"/>
    <n v="999.46"/>
    <n v="343.09"/>
    <n v="9"/>
    <n v="0.34327536869909747"/>
  </r>
  <r>
    <s v="ORD1317"/>
    <s v="2025-09-19"/>
    <x v="2"/>
    <x v="5"/>
    <s v="Furniture"/>
    <n v="4348.74"/>
    <n v="718.69"/>
    <n v="1"/>
    <n v="0.16526396151528952"/>
  </r>
  <r>
    <s v="ORD1318"/>
    <s v="2025-03-23"/>
    <x v="1"/>
    <x v="2"/>
    <s v="Office"/>
    <n v="1170.49"/>
    <n v="365.61"/>
    <n v="5"/>
    <n v="0.31235636357422958"/>
  </r>
  <r>
    <s v="ORD1319"/>
    <s v="2025-06-05"/>
    <x v="2"/>
    <x v="6"/>
    <s v="Furniture"/>
    <n v="3145.73"/>
    <n v="1040.5899999999999"/>
    <n v="8"/>
    <n v="0.33079444198961766"/>
  </r>
  <r>
    <s v="ORD1320"/>
    <s v="2025-10-08"/>
    <x v="1"/>
    <x v="6"/>
    <s v="Furniture"/>
    <n v="2753.45"/>
    <n v="283.25"/>
    <n v="2"/>
    <n v="0.10287094372514483"/>
  </r>
  <r>
    <s v="ORD1321"/>
    <s v="2025-05-09"/>
    <x v="1"/>
    <x v="3"/>
    <s v="Office"/>
    <n v="2515.34"/>
    <n v="453.6"/>
    <n v="10"/>
    <n v="0.18033347380473416"/>
  </r>
  <r>
    <s v="ORD1322"/>
    <s v="2025-01-20"/>
    <x v="2"/>
    <x v="0"/>
    <s v="Office"/>
    <n v="2244.0500000000002"/>
    <n v="536.45000000000005"/>
    <n v="8"/>
    <n v="0.23905438827120609"/>
  </r>
  <r>
    <s v="ORD1323"/>
    <s v="2025-10-16"/>
    <x v="2"/>
    <x v="7"/>
    <s v="Electronics"/>
    <n v="1065.56"/>
    <n v="229.42"/>
    <n v="8"/>
    <n v="0.21530462855212282"/>
  </r>
  <r>
    <s v="ORD1324"/>
    <s v="2025-04-24"/>
    <x v="1"/>
    <x v="5"/>
    <s v="Furniture"/>
    <n v="3654.67"/>
    <n v="760.56"/>
    <n v="9"/>
    <n v="0.20810634065455977"/>
  </r>
  <r>
    <s v="ORD1325"/>
    <s v="2025-07-21"/>
    <x v="3"/>
    <x v="5"/>
    <s v="Furniture"/>
    <n v="4030.61"/>
    <n v="594.78"/>
    <n v="5"/>
    <n v="0.14756575307459663"/>
  </r>
  <r>
    <s v="ORD1326"/>
    <s v="2025-11-29"/>
    <x v="3"/>
    <x v="3"/>
    <s v="Office"/>
    <n v="1582.09"/>
    <n v="116.49"/>
    <n v="7"/>
    <n v="7.3630450859306362E-2"/>
  </r>
  <r>
    <s v="ORD1327"/>
    <s v="2025-02-07"/>
    <x v="1"/>
    <x v="7"/>
    <s v="Electronics"/>
    <n v="391.15"/>
    <n v="46.13"/>
    <n v="9"/>
    <n v="0.11793429630576506"/>
  </r>
  <r>
    <s v="ORD1328"/>
    <s v="2025-03-17"/>
    <x v="1"/>
    <x v="3"/>
    <s v="Office"/>
    <n v="2489.8000000000002"/>
    <n v="373.74"/>
    <n v="7"/>
    <n v="0.15010844244517632"/>
  </r>
  <r>
    <s v="ORD1329"/>
    <s v="2025-03-27"/>
    <x v="2"/>
    <x v="5"/>
    <s v="Furniture"/>
    <n v="3793.47"/>
    <n v="875.95"/>
    <n v="2"/>
    <n v="0.23090995842856279"/>
  </r>
  <r>
    <s v="ORD1330"/>
    <s v="2025-12-22"/>
    <x v="0"/>
    <x v="1"/>
    <s v="Electronics"/>
    <n v="3184.86"/>
    <n v="375.03"/>
    <n v="8"/>
    <n v="0.11775399860590417"/>
  </r>
  <r>
    <s v="ORD1331"/>
    <s v="2025-10-01"/>
    <x v="3"/>
    <x v="7"/>
    <s v="Electronics"/>
    <n v="4565.88"/>
    <n v="554.79999999999995"/>
    <n v="3"/>
    <n v="0.12150998274155254"/>
  </r>
  <r>
    <s v="ORD1332"/>
    <s v="2025-11-26"/>
    <x v="3"/>
    <x v="0"/>
    <s v="Office"/>
    <n v="4833.6099999999997"/>
    <n v="271.83"/>
    <n v="2"/>
    <n v="5.6237470544789503E-2"/>
  </r>
  <r>
    <s v="ORD1333"/>
    <s v="2025-02-21"/>
    <x v="3"/>
    <x v="4"/>
    <s v="Electronics"/>
    <n v="4243.47"/>
    <n v="1204.3499999999999"/>
    <n v="1"/>
    <n v="0.2838125402088385"/>
  </r>
  <r>
    <s v="ORD1334"/>
    <s v="2025-12-22"/>
    <x v="3"/>
    <x v="2"/>
    <s v="Office"/>
    <n v="3230.99"/>
    <n v="498.95"/>
    <n v="4"/>
    <n v="0.15442635229449797"/>
  </r>
  <r>
    <s v="ORD1335"/>
    <s v="2025-05-15"/>
    <x v="1"/>
    <x v="4"/>
    <s v="Electronics"/>
    <n v="3713.62"/>
    <n v="880.34"/>
    <n v="8"/>
    <n v="0.23705710331159355"/>
  </r>
  <r>
    <s v="ORD1336"/>
    <s v="2025-11-25"/>
    <x v="1"/>
    <x v="5"/>
    <s v="Furniture"/>
    <n v="4545.2"/>
    <n v="1572.67"/>
    <n v="3"/>
    <n v="0.3460067763794773"/>
  </r>
  <r>
    <s v="ORD1337"/>
    <s v="2025-05-17"/>
    <x v="0"/>
    <x v="4"/>
    <s v="Electronics"/>
    <n v="2422.39"/>
    <n v="300.92"/>
    <n v="3"/>
    <n v="0.12422442298721512"/>
  </r>
  <r>
    <s v="ORD1338"/>
    <s v="2025-10-26"/>
    <x v="0"/>
    <x v="4"/>
    <s v="Electronics"/>
    <n v="4156.3"/>
    <n v="804.32"/>
    <n v="10"/>
    <n v="0.19351827346437939"/>
  </r>
  <r>
    <s v="ORD1339"/>
    <s v="2025-06-11"/>
    <x v="0"/>
    <x v="2"/>
    <s v="Office"/>
    <n v="3697.74"/>
    <n v="878.7"/>
    <n v="9"/>
    <n v="0.23763163445780397"/>
  </r>
  <r>
    <s v="ORD1340"/>
    <s v="2025-03-27"/>
    <x v="0"/>
    <x v="7"/>
    <s v="Electronics"/>
    <n v="4575.1099999999997"/>
    <n v="493.08"/>
    <n v="8"/>
    <n v="0.107774457881887"/>
  </r>
  <r>
    <s v="ORD1341"/>
    <s v="2025-06-12"/>
    <x v="0"/>
    <x v="4"/>
    <s v="Electronics"/>
    <n v="2835.09"/>
    <n v="985.07"/>
    <n v="1"/>
    <n v="0.34745634177398249"/>
  </r>
  <r>
    <s v="ORD1342"/>
    <s v="2025-02-27"/>
    <x v="0"/>
    <x v="7"/>
    <s v="Electronics"/>
    <n v="1530.07"/>
    <n v="397.91"/>
    <n v="7"/>
    <n v="0.2600599972550276"/>
  </r>
  <r>
    <s v="ORD1343"/>
    <s v="2025-08-24"/>
    <x v="0"/>
    <x v="2"/>
    <s v="Office"/>
    <n v="4923.3900000000003"/>
    <n v="1352.14"/>
    <n v="3"/>
    <n v="0.27463597236863219"/>
  </r>
  <r>
    <s v="ORD1344"/>
    <s v="2025-03-12"/>
    <x v="0"/>
    <x v="2"/>
    <s v="Office"/>
    <n v="1075.6600000000001"/>
    <n v="270.17"/>
    <n v="7"/>
    <n v="0.25116672554524666"/>
  </r>
  <r>
    <s v="ORD1345"/>
    <s v="2025-12-15"/>
    <x v="2"/>
    <x v="6"/>
    <s v="Furniture"/>
    <n v="1465.88"/>
    <n v="326.23"/>
    <n v="9"/>
    <n v="0.22254891259857559"/>
  </r>
  <r>
    <s v="ORD1346"/>
    <s v="2025-04-01"/>
    <x v="2"/>
    <x v="0"/>
    <s v="Office"/>
    <n v="3430.83"/>
    <n v="650.1"/>
    <n v="9"/>
    <n v="0.18948767499409766"/>
  </r>
  <r>
    <s v="ORD1347"/>
    <s v="2025-06-07"/>
    <x v="1"/>
    <x v="4"/>
    <s v="Electronics"/>
    <n v="1739.13"/>
    <n v="440.63"/>
    <n v="8"/>
    <n v="0.25336231334057829"/>
  </r>
  <r>
    <s v="ORD1348"/>
    <s v="2025-11-05"/>
    <x v="1"/>
    <x v="7"/>
    <s v="Electronics"/>
    <n v="4542.43"/>
    <n v="314.42"/>
    <n v="8"/>
    <n v="6.9218457961927868E-2"/>
  </r>
  <r>
    <s v="ORD1349"/>
    <s v="2025-06-22"/>
    <x v="2"/>
    <x v="4"/>
    <s v="Electronics"/>
    <n v="4500.1000000000004"/>
    <n v="1104.95"/>
    <n v="7"/>
    <n v="0.24553898802248839"/>
  </r>
  <r>
    <s v="ORD1350"/>
    <s v="2025-10-01"/>
    <x v="3"/>
    <x v="4"/>
    <s v="Electronics"/>
    <n v="192.58"/>
    <n v="48.91"/>
    <n v="3"/>
    <n v="0.25397237511683451"/>
  </r>
  <r>
    <s v="ORD1351"/>
    <s v="2025-12-31"/>
    <x v="1"/>
    <x v="6"/>
    <s v="Furniture"/>
    <n v="4225.66"/>
    <n v="982.69"/>
    <n v="8"/>
    <n v="0.23255302130318106"/>
  </r>
  <r>
    <s v="ORD1352"/>
    <s v="2025-10-15"/>
    <x v="2"/>
    <x v="3"/>
    <s v="Office"/>
    <n v="1647.27"/>
    <n v="104.43"/>
    <n v="2"/>
    <n v="6.3395800324172732E-2"/>
  </r>
  <r>
    <s v="ORD1353"/>
    <s v="2025-02-25"/>
    <x v="1"/>
    <x v="0"/>
    <s v="Office"/>
    <n v="4048.26"/>
    <n v="298.19"/>
    <n v="6"/>
    <n v="7.3658806499582535E-2"/>
  </r>
  <r>
    <s v="ORD1354"/>
    <s v="2025-09-06"/>
    <x v="1"/>
    <x v="1"/>
    <s v="Electronics"/>
    <n v="555.32000000000005"/>
    <n v="42.61"/>
    <n v="7"/>
    <n v="7.6730533746308421E-2"/>
  </r>
  <r>
    <s v="ORD1355"/>
    <s v="2025-06-02"/>
    <x v="1"/>
    <x v="7"/>
    <s v="Electronics"/>
    <n v="2965.89"/>
    <n v="885.18"/>
    <n v="4"/>
    <n v="0.29845341533232855"/>
  </r>
  <r>
    <s v="ORD1356"/>
    <s v="2025-03-14"/>
    <x v="3"/>
    <x v="1"/>
    <s v="Electronics"/>
    <n v="1710.48"/>
    <n v="167.38"/>
    <n v="10"/>
    <n v="9.7855572704737853E-2"/>
  </r>
  <r>
    <s v="ORD1357"/>
    <s v="2025-06-11"/>
    <x v="1"/>
    <x v="2"/>
    <s v="Office"/>
    <n v="2491.89"/>
    <n v="770.94"/>
    <n v="5"/>
    <n v="0.30937962751164783"/>
  </r>
  <r>
    <s v="ORD1358"/>
    <s v="2025-01-05"/>
    <x v="1"/>
    <x v="2"/>
    <s v="Office"/>
    <n v="2391.11"/>
    <n v="722.82"/>
    <n v="5"/>
    <n v="0.30229475013696566"/>
  </r>
  <r>
    <s v="ORD1359"/>
    <s v="2025-07-29"/>
    <x v="2"/>
    <x v="6"/>
    <s v="Furniture"/>
    <n v="4769.3500000000004"/>
    <n v="1429.58"/>
    <n v="9"/>
    <n v="0.2997431515825007"/>
  </r>
  <r>
    <s v="ORD1360"/>
    <s v="2025-12-27"/>
    <x v="2"/>
    <x v="0"/>
    <s v="Office"/>
    <n v="833.69"/>
    <n v="85.49"/>
    <n v="7"/>
    <n v="0.10254411112044044"/>
  </r>
  <r>
    <s v="ORD1361"/>
    <s v="2025-02-13"/>
    <x v="2"/>
    <x v="4"/>
    <s v="Electronics"/>
    <n v="4748.01"/>
    <n v="1471.65"/>
    <n v="2"/>
    <n v="0.30995090574788176"/>
  </r>
  <r>
    <s v="ORD1362"/>
    <s v="2025-12-28"/>
    <x v="1"/>
    <x v="6"/>
    <s v="Furniture"/>
    <n v="2013.68"/>
    <n v="453.75"/>
    <n v="2"/>
    <n v="0.22533371737316751"/>
  </r>
  <r>
    <s v="ORD1363"/>
    <s v="2025-04-26"/>
    <x v="1"/>
    <x v="2"/>
    <s v="Office"/>
    <n v="149.74"/>
    <n v="31.61"/>
    <n v="4"/>
    <n v="0.2110992386803793"/>
  </r>
  <r>
    <s v="ORD1364"/>
    <s v="2025-02-02"/>
    <x v="2"/>
    <x v="7"/>
    <s v="Electronics"/>
    <n v="4976.57"/>
    <n v="1187.74"/>
    <n v="5"/>
    <n v="0.23866639070685233"/>
  </r>
  <r>
    <s v="ORD1365"/>
    <s v="2025-09-24"/>
    <x v="3"/>
    <x v="6"/>
    <s v="Furniture"/>
    <n v="3832.21"/>
    <n v="1303.19"/>
    <n v="3"/>
    <n v="0.34006226172365295"/>
  </r>
  <r>
    <s v="ORD1366"/>
    <s v="2025-12-20"/>
    <x v="3"/>
    <x v="4"/>
    <s v="Electronics"/>
    <n v="3326.13"/>
    <n v="930.62"/>
    <n v="1"/>
    <n v="0.27979062754612716"/>
  </r>
  <r>
    <s v="ORD1367"/>
    <s v="2025-06-14"/>
    <x v="2"/>
    <x v="1"/>
    <s v="Electronics"/>
    <n v="2908.17"/>
    <n v="996.14"/>
    <n v="2"/>
    <n v="0.34253155764621734"/>
  </r>
  <r>
    <s v="ORD1368"/>
    <s v="2025-10-01"/>
    <x v="2"/>
    <x v="6"/>
    <s v="Furniture"/>
    <n v="2724.59"/>
    <n v="168.25"/>
    <n v="5"/>
    <n v="6.1752410454416991E-2"/>
  </r>
  <r>
    <s v="ORD1369"/>
    <s v="2025-06-06"/>
    <x v="0"/>
    <x v="4"/>
    <s v="Electronics"/>
    <n v="2499.46"/>
    <n v="247.77"/>
    <n v="3"/>
    <n v="9.9129411952981847E-2"/>
  </r>
  <r>
    <s v="ORD1370"/>
    <s v="2025-03-13"/>
    <x v="0"/>
    <x v="3"/>
    <s v="Office"/>
    <n v="2113.96"/>
    <n v="197.33"/>
    <n v="5"/>
    <n v="9.3346137107608473E-2"/>
  </r>
  <r>
    <s v="ORD1371"/>
    <s v="2025-07-30"/>
    <x v="0"/>
    <x v="0"/>
    <s v="Office"/>
    <n v="417.45"/>
    <n v="57.07"/>
    <n v="2"/>
    <n v="0.13671098335129955"/>
  </r>
  <r>
    <s v="ORD1372"/>
    <s v="2025-01-10"/>
    <x v="3"/>
    <x v="7"/>
    <s v="Electronics"/>
    <n v="724.96"/>
    <n v="148.25"/>
    <n v="10"/>
    <n v="0.2044940410505407"/>
  </r>
  <r>
    <s v="ORD1373"/>
    <s v="2025-08-01"/>
    <x v="2"/>
    <x v="5"/>
    <s v="Furniture"/>
    <n v="4058.09"/>
    <n v="1172.8"/>
    <n v="1"/>
    <n v="0.28900295459193853"/>
  </r>
  <r>
    <s v="ORD1374"/>
    <s v="2025-08-20"/>
    <x v="3"/>
    <x v="3"/>
    <s v="Office"/>
    <n v="1763.16"/>
    <n v="122.33"/>
    <n v="3"/>
    <n v="6.9381111186732902E-2"/>
  </r>
  <r>
    <s v="ORD1375"/>
    <s v="2025-07-14"/>
    <x v="3"/>
    <x v="2"/>
    <s v="Office"/>
    <n v="3626.28"/>
    <n v="512.04"/>
    <n v="6"/>
    <n v="0.14120255468413909"/>
  </r>
  <r>
    <s v="ORD1376"/>
    <s v="2025-02-16"/>
    <x v="1"/>
    <x v="5"/>
    <s v="Furniture"/>
    <n v="208.53"/>
    <n v="50.5"/>
    <n v="6"/>
    <n v="0.24217139020764397"/>
  </r>
  <r>
    <s v="ORD1377"/>
    <s v="2025-08-17"/>
    <x v="0"/>
    <x v="6"/>
    <s v="Furniture"/>
    <n v="948.84"/>
    <n v="97.93"/>
    <n v="4"/>
    <n v="0.10321023565616964"/>
  </r>
  <r>
    <s v="ORD1378"/>
    <s v="2025-02-27"/>
    <x v="0"/>
    <x v="0"/>
    <s v="Office"/>
    <n v="1505.02"/>
    <n v="469.81"/>
    <n v="1"/>
    <n v="0.3121619646250548"/>
  </r>
  <r>
    <s v="ORD1379"/>
    <s v="2025-03-10"/>
    <x v="0"/>
    <x v="0"/>
    <s v="Office"/>
    <n v="1815.89"/>
    <n v="578.59"/>
    <n v="4"/>
    <n v="0.31862612823463976"/>
  </r>
  <r>
    <s v="ORD1380"/>
    <s v="2025-02-21"/>
    <x v="2"/>
    <x v="1"/>
    <s v="Electronics"/>
    <n v="2389.3000000000002"/>
    <n v="702.53"/>
    <n v="3"/>
    <n v="0.29403172477294603"/>
  </r>
  <r>
    <s v="ORD1381"/>
    <s v="2025-11-09"/>
    <x v="2"/>
    <x v="6"/>
    <s v="Furniture"/>
    <n v="210.32"/>
    <n v="54.7"/>
    <n v="6"/>
    <n v="0.2600798782807151"/>
  </r>
  <r>
    <s v="ORD1382"/>
    <s v="2025-05-08"/>
    <x v="2"/>
    <x v="5"/>
    <s v="Furniture"/>
    <n v="4224.4799999999996"/>
    <n v="1334.07"/>
    <n v="9"/>
    <n v="0.31579508010453361"/>
  </r>
  <r>
    <s v="ORD1383"/>
    <s v="2025-09-23"/>
    <x v="0"/>
    <x v="6"/>
    <s v="Furniture"/>
    <n v="2699.64"/>
    <n v="306.22000000000003"/>
    <n v="9"/>
    <n v="0.11342993880665572"/>
  </r>
  <r>
    <s v="ORD1384"/>
    <s v="2025-01-05"/>
    <x v="0"/>
    <x v="5"/>
    <s v="Furniture"/>
    <n v="1901.77"/>
    <n v="489.07"/>
    <n v="6"/>
    <n v="0.25716569301229908"/>
  </r>
  <r>
    <s v="ORD1385"/>
    <s v="2025-08-12"/>
    <x v="2"/>
    <x v="5"/>
    <s v="Furniture"/>
    <n v="2155.31"/>
    <n v="362.35"/>
    <n v="6"/>
    <n v="0.16811966724044339"/>
  </r>
  <r>
    <s v="ORD1386"/>
    <s v="2025-03-31"/>
    <x v="3"/>
    <x v="3"/>
    <s v="Office"/>
    <n v="609.05999999999995"/>
    <n v="164.57"/>
    <n v="8"/>
    <n v="0.27020326404623518"/>
  </r>
  <r>
    <s v="ORD1387"/>
    <s v="2025-10-17"/>
    <x v="0"/>
    <x v="5"/>
    <s v="Furniture"/>
    <n v="719.06"/>
    <n v="84.16"/>
    <n v="2"/>
    <n v="0.11704169332183685"/>
  </r>
  <r>
    <s v="ORD1388"/>
    <s v="2025-03-02"/>
    <x v="3"/>
    <x v="6"/>
    <s v="Furniture"/>
    <n v="1741.71"/>
    <n v="166.25"/>
    <n v="10"/>
    <n v="9.5452170568005007E-2"/>
  </r>
  <r>
    <s v="ORD1389"/>
    <s v="2025-10-18"/>
    <x v="1"/>
    <x v="2"/>
    <s v="Office"/>
    <n v="1868.93"/>
    <n v="607.44000000000005"/>
    <n v="10"/>
    <n v="0.32502019872333371"/>
  </r>
  <r>
    <s v="ORD1390"/>
    <s v="2025-02-01"/>
    <x v="1"/>
    <x v="6"/>
    <s v="Furniture"/>
    <n v="3457.15"/>
    <n v="396.27"/>
    <n v="7"/>
    <n v="0.11462331689397336"/>
  </r>
  <r>
    <s v="ORD1391"/>
    <s v="2025-06-18"/>
    <x v="3"/>
    <x v="7"/>
    <s v="Electronics"/>
    <n v="3163.71"/>
    <n v="223.58"/>
    <n v="4"/>
    <n v="7.0670194170767864E-2"/>
  </r>
  <r>
    <s v="ORD1392"/>
    <s v="2025-05-03"/>
    <x v="0"/>
    <x v="4"/>
    <s v="Electronics"/>
    <n v="1832.28"/>
    <n v="282.06"/>
    <n v="7"/>
    <n v="0.15393935424716745"/>
  </r>
  <r>
    <s v="ORD1393"/>
    <s v="2025-05-28"/>
    <x v="3"/>
    <x v="3"/>
    <s v="Office"/>
    <n v="4911.72"/>
    <n v="660.11"/>
    <n v="10"/>
    <n v="0.13439487592940966"/>
  </r>
  <r>
    <s v="ORD1394"/>
    <s v="2025-05-31"/>
    <x v="2"/>
    <x v="1"/>
    <s v="Electronics"/>
    <n v="3004.65"/>
    <n v="574.9"/>
    <n v="4"/>
    <n v="0.1913367613532358"/>
  </r>
  <r>
    <s v="ORD1395"/>
    <s v="2025-04-07"/>
    <x v="3"/>
    <x v="7"/>
    <s v="Electronics"/>
    <n v="2118.65"/>
    <n v="239.67"/>
    <n v="9"/>
    <n v="0.11312392325301487"/>
  </r>
  <r>
    <s v="ORD1396"/>
    <s v="2025-01-07"/>
    <x v="2"/>
    <x v="6"/>
    <s v="Furniture"/>
    <n v="4086.28"/>
    <n v="462.62"/>
    <n v="9"/>
    <n v="0.1132129956831152"/>
  </r>
  <r>
    <s v="ORD1397"/>
    <s v="2025-03-23"/>
    <x v="2"/>
    <x v="7"/>
    <s v="Electronics"/>
    <n v="4040.56"/>
    <n v="385.48"/>
    <n v="10"/>
    <n v="9.5402617458966096E-2"/>
  </r>
  <r>
    <s v="ORD1398"/>
    <s v="2025-07-20"/>
    <x v="2"/>
    <x v="4"/>
    <s v="Electronics"/>
    <n v="2973.96"/>
    <n v="206.95"/>
    <n v="7"/>
    <n v="6.9587351544741688E-2"/>
  </r>
  <r>
    <s v="ORD1399"/>
    <s v="2025-11-28"/>
    <x v="0"/>
    <x v="3"/>
    <s v="Office"/>
    <n v="894.44"/>
    <n v="249.39"/>
    <n v="8"/>
    <n v="0.27882250346585569"/>
  </r>
  <r>
    <s v="ORD1400"/>
    <s v="2025-11-26"/>
    <x v="0"/>
    <x v="2"/>
    <s v="Office"/>
    <n v="4233.43"/>
    <n v="232.87"/>
    <n v="4"/>
    <n v="5.5007405342712645E-2"/>
  </r>
  <r>
    <s v="ORD1401"/>
    <s v="2025-04-03"/>
    <x v="0"/>
    <x v="0"/>
    <s v="Office"/>
    <n v="2449.8200000000002"/>
    <n v="695.26"/>
    <n v="3"/>
    <n v="0.28380044248148839"/>
  </r>
  <r>
    <s v="ORD1402"/>
    <s v="2025-12-13"/>
    <x v="1"/>
    <x v="1"/>
    <s v="Electronics"/>
    <n v="3189.48"/>
    <n v="547.21"/>
    <n v="3"/>
    <n v="0.17156715201224024"/>
  </r>
  <r>
    <s v="ORD1403"/>
    <s v="2025-12-31"/>
    <x v="2"/>
    <x v="6"/>
    <s v="Furniture"/>
    <n v="4414.49"/>
    <n v="364.83"/>
    <n v="8"/>
    <n v="8.2643748201944048E-2"/>
  </r>
  <r>
    <s v="ORD1404"/>
    <s v="2025-04-27"/>
    <x v="3"/>
    <x v="7"/>
    <s v="Electronics"/>
    <n v="3785.37"/>
    <n v="727.08"/>
    <n v="8"/>
    <n v="0.19207633599885879"/>
  </r>
  <r>
    <s v="ORD1405"/>
    <s v="2025-01-27"/>
    <x v="0"/>
    <x v="0"/>
    <s v="Office"/>
    <n v="2235.67"/>
    <n v="261.38"/>
    <n v="9"/>
    <n v="0.11691349796705237"/>
  </r>
  <r>
    <s v="ORD1406"/>
    <s v="2025-04-16"/>
    <x v="1"/>
    <x v="3"/>
    <s v="Office"/>
    <n v="4990.88"/>
    <n v="910.47"/>
    <n v="4"/>
    <n v="0.18242674638540698"/>
  </r>
  <r>
    <s v="ORD1407"/>
    <s v="2025-06-03"/>
    <x v="1"/>
    <x v="2"/>
    <s v="Office"/>
    <n v="4550.07"/>
    <n v="1344.88"/>
    <n v="2"/>
    <n v="0.29557347469379597"/>
  </r>
  <r>
    <s v="ORD1408"/>
    <s v="2025-02-12"/>
    <x v="2"/>
    <x v="4"/>
    <s v="Electronics"/>
    <n v="2224.04"/>
    <n v="165.86"/>
    <n v="1"/>
    <n v="7.457599683458932E-2"/>
  </r>
  <r>
    <s v="ORD1409"/>
    <s v="2025-03-13"/>
    <x v="1"/>
    <x v="3"/>
    <s v="Office"/>
    <n v="225.65"/>
    <n v="69.41"/>
    <n v="2"/>
    <n v="0.30760026589851536"/>
  </r>
  <r>
    <s v="ORD1410"/>
    <s v="2025-04-12"/>
    <x v="2"/>
    <x v="3"/>
    <s v="Office"/>
    <n v="3850.68"/>
    <n v="1323.14"/>
    <n v="2"/>
    <n v="0.34361203735444135"/>
  </r>
  <r>
    <s v="ORD1411"/>
    <s v="2025-01-31"/>
    <x v="1"/>
    <x v="2"/>
    <s v="Office"/>
    <n v="651.73"/>
    <n v="186.44"/>
    <n v="7"/>
    <n v="0.28606938456109121"/>
  </r>
  <r>
    <s v="ORD1412"/>
    <s v="2025-07-20"/>
    <x v="0"/>
    <x v="6"/>
    <s v="Furniture"/>
    <n v="3422.26"/>
    <n v="184.62"/>
    <n v="7"/>
    <n v="5.3946807080701056E-2"/>
  </r>
  <r>
    <s v="ORD1413"/>
    <s v="2025-12-25"/>
    <x v="1"/>
    <x v="3"/>
    <s v="Office"/>
    <n v="1662.77"/>
    <n v="554.1"/>
    <n v="7"/>
    <n v="0.33323911304630227"/>
  </r>
  <r>
    <s v="ORD1414"/>
    <s v="2025-08-18"/>
    <x v="2"/>
    <x v="4"/>
    <s v="Electronics"/>
    <n v="4992.49"/>
    <n v="364.62"/>
    <n v="10"/>
    <n v="7.3033696612311697E-2"/>
  </r>
  <r>
    <s v="ORD1415"/>
    <s v="2025-04-05"/>
    <x v="2"/>
    <x v="2"/>
    <s v="Office"/>
    <n v="387.82"/>
    <n v="125.41"/>
    <n v="5"/>
    <n v="0.32337166726832034"/>
  </r>
  <r>
    <s v="ORD1416"/>
    <s v="2025-05-17"/>
    <x v="3"/>
    <x v="1"/>
    <s v="Electronics"/>
    <n v="2393.9299999999998"/>
    <n v="734.04"/>
    <n v="10"/>
    <n v="0.30662550701148322"/>
  </r>
  <r>
    <s v="ORD1417"/>
    <s v="2025-12-22"/>
    <x v="1"/>
    <x v="6"/>
    <s v="Furniture"/>
    <n v="2781.38"/>
    <n v="366.24"/>
    <n v="6"/>
    <n v="0.13167564302612372"/>
  </r>
  <r>
    <s v="ORD1418"/>
    <s v="2025-07-04"/>
    <x v="3"/>
    <x v="2"/>
    <s v="Office"/>
    <n v="3529.98"/>
    <n v="285.97000000000003"/>
    <n v="4"/>
    <n v="8.1011790435073297E-2"/>
  </r>
  <r>
    <s v="ORD1419"/>
    <s v="2025-09-14"/>
    <x v="2"/>
    <x v="2"/>
    <s v="Office"/>
    <n v="1108.73"/>
    <n v="124.12"/>
    <n v="2"/>
    <n v="0.11194790435904142"/>
  </r>
  <r>
    <s v="ORD1420"/>
    <s v="2025-02-27"/>
    <x v="1"/>
    <x v="1"/>
    <s v="Electronics"/>
    <n v="2925.86"/>
    <n v="768.62"/>
    <n v="3"/>
    <n v="0.26269883042934383"/>
  </r>
  <r>
    <s v="ORD1421"/>
    <s v="2025-01-07"/>
    <x v="1"/>
    <x v="4"/>
    <s v="Electronics"/>
    <n v="2284.71"/>
    <n v="278.58999999999997"/>
    <n v="8"/>
    <n v="0.12193670093797461"/>
  </r>
  <r>
    <s v="ORD1422"/>
    <s v="2025-06-19"/>
    <x v="1"/>
    <x v="6"/>
    <s v="Furniture"/>
    <n v="2524.54"/>
    <n v="816.78"/>
    <n v="9"/>
    <n v="0.3235361689654353"/>
  </r>
  <r>
    <s v="ORD1423"/>
    <s v="2025-01-01"/>
    <x v="3"/>
    <x v="2"/>
    <s v="Office"/>
    <n v="3239.06"/>
    <n v="1035.26"/>
    <n v="4"/>
    <n v="0.31961741986872733"/>
  </r>
  <r>
    <s v="ORD1424"/>
    <s v="2025-05-17"/>
    <x v="0"/>
    <x v="3"/>
    <s v="Office"/>
    <n v="4740.2700000000004"/>
    <n v="479.84"/>
    <n v="4"/>
    <n v="0.10122630145540232"/>
  </r>
  <r>
    <s v="ORD1425"/>
    <s v="2025-07-16"/>
    <x v="0"/>
    <x v="1"/>
    <s v="Electronics"/>
    <n v="2993.82"/>
    <n v="420.11"/>
    <n v="4"/>
    <n v="0.14032573768630044"/>
  </r>
  <r>
    <s v="ORD1426"/>
    <s v="2025-07-12"/>
    <x v="1"/>
    <x v="2"/>
    <s v="Office"/>
    <n v="1754.75"/>
    <n v="263.04000000000002"/>
    <n v="8"/>
    <n v="0.14990169539820489"/>
  </r>
  <r>
    <s v="ORD1427"/>
    <s v="2025-08-23"/>
    <x v="3"/>
    <x v="0"/>
    <s v="Office"/>
    <n v="3498"/>
    <n v="737.59"/>
    <n v="1"/>
    <n v="0.21086049170954832"/>
  </r>
  <r>
    <s v="ORD1428"/>
    <s v="2025-06-01"/>
    <x v="1"/>
    <x v="3"/>
    <s v="Office"/>
    <n v="1906.33"/>
    <n v="546.48"/>
    <n v="9"/>
    <n v="0.28666600221367761"/>
  </r>
  <r>
    <s v="ORD1429"/>
    <s v="2025-11-20"/>
    <x v="1"/>
    <x v="0"/>
    <s v="Office"/>
    <n v="1920.46"/>
    <n v="564.21"/>
    <n v="5"/>
    <n v="0.29378898805494519"/>
  </r>
  <r>
    <s v="ORD1430"/>
    <s v="2025-07-30"/>
    <x v="3"/>
    <x v="1"/>
    <s v="Electronics"/>
    <n v="2795.68"/>
    <n v="201.03"/>
    <n v="1"/>
    <n v="7.1907371372975454E-2"/>
  </r>
  <r>
    <s v="ORD1431"/>
    <s v="2025-03-20"/>
    <x v="3"/>
    <x v="4"/>
    <s v="Electronics"/>
    <n v="758.44"/>
    <n v="191.6"/>
    <n v="3"/>
    <n v="0.25262380676124674"/>
  </r>
  <r>
    <s v="ORD1432"/>
    <s v="2025-06-13"/>
    <x v="1"/>
    <x v="1"/>
    <s v="Electronics"/>
    <n v="2748.5"/>
    <n v="447.74"/>
    <n v="1"/>
    <n v="0.16290340185555757"/>
  </r>
  <r>
    <s v="ORD1433"/>
    <s v="2025-12-08"/>
    <x v="1"/>
    <x v="5"/>
    <s v="Furniture"/>
    <n v="3483.75"/>
    <n v="195.52"/>
    <n v="5"/>
    <n v="5.6123430211697169E-2"/>
  </r>
  <r>
    <s v="ORD1434"/>
    <s v="2025-08-14"/>
    <x v="2"/>
    <x v="0"/>
    <s v="Office"/>
    <n v="1927.1"/>
    <n v="506.23"/>
    <n v="1"/>
    <n v="0.26269005241035753"/>
  </r>
  <r>
    <s v="ORD1435"/>
    <s v="2025-09-18"/>
    <x v="1"/>
    <x v="4"/>
    <s v="Electronics"/>
    <n v="2469.7600000000002"/>
    <n v="410.43"/>
    <n v="3"/>
    <n v="0.16618213915522154"/>
  </r>
  <r>
    <s v="ORD1436"/>
    <s v="2025-12-30"/>
    <x v="2"/>
    <x v="6"/>
    <s v="Furniture"/>
    <n v="815.25"/>
    <n v="280.01"/>
    <n v="5"/>
    <n v="0.34346519472554432"/>
  </r>
  <r>
    <s v="ORD1437"/>
    <s v="2025-12-11"/>
    <x v="0"/>
    <x v="6"/>
    <s v="Furniture"/>
    <n v="829.64"/>
    <n v="63.46"/>
    <n v="6"/>
    <n v="7.6491008148112438E-2"/>
  </r>
  <r>
    <s v="ORD1438"/>
    <s v="2025-08-07"/>
    <x v="0"/>
    <x v="2"/>
    <s v="Office"/>
    <n v="2361"/>
    <n v="634.96"/>
    <n v="2"/>
    <n v="0.26893689114781871"/>
  </r>
  <r>
    <s v="ORD1439"/>
    <s v="2025-07-25"/>
    <x v="2"/>
    <x v="5"/>
    <s v="Furniture"/>
    <n v="3696.16"/>
    <n v="849.98"/>
    <n v="1"/>
    <n v="0.22996298861521147"/>
  </r>
  <r>
    <s v="ORD1440"/>
    <s v="2025-06-26"/>
    <x v="2"/>
    <x v="2"/>
    <s v="Office"/>
    <n v="1093.44"/>
    <n v="358.19"/>
    <n v="4"/>
    <n v="0.32758084577114427"/>
  </r>
  <r>
    <s v="ORD1441"/>
    <s v="2025-02-16"/>
    <x v="0"/>
    <x v="7"/>
    <s v="Electronics"/>
    <n v="1332.46"/>
    <n v="98.26"/>
    <n v="6"/>
    <n v="7.3743301862720087E-2"/>
  </r>
  <r>
    <s v="ORD1442"/>
    <s v="2025-07-13"/>
    <x v="2"/>
    <x v="0"/>
    <s v="Office"/>
    <n v="615.73"/>
    <n v="141.36000000000001"/>
    <n v="9"/>
    <n v="0.22958114758092021"/>
  </r>
  <r>
    <s v="ORD1443"/>
    <s v="2025-06-26"/>
    <x v="1"/>
    <x v="5"/>
    <s v="Furniture"/>
    <n v="1913.95"/>
    <n v="199.42"/>
    <n v="4"/>
    <n v="0.10419289950103189"/>
  </r>
  <r>
    <s v="ORD1444"/>
    <s v="2025-08-18"/>
    <x v="1"/>
    <x v="7"/>
    <s v="Electronics"/>
    <n v="2312.21"/>
    <n v="208.95"/>
    <n v="10"/>
    <n v="9.0368089403644131E-2"/>
  </r>
  <r>
    <s v="ORD1445"/>
    <s v="2025-01-26"/>
    <x v="3"/>
    <x v="4"/>
    <s v="Electronics"/>
    <n v="4613.5600000000004"/>
    <n v="1505.08"/>
    <n v="2"/>
    <n v="0.32622963611614453"/>
  </r>
  <r>
    <s v="ORD1446"/>
    <s v="2025-10-19"/>
    <x v="1"/>
    <x v="6"/>
    <s v="Furniture"/>
    <n v="1972.67"/>
    <n v="330.66"/>
    <n v="10"/>
    <n v="0.16762053460538257"/>
  </r>
  <r>
    <s v="ORD1447"/>
    <s v="2025-12-19"/>
    <x v="3"/>
    <x v="6"/>
    <s v="Furniture"/>
    <n v="3976.78"/>
    <n v="1261.1300000000001"/>
    <n v="8"/>
    <n v="0.3171234013448066"/>
  </r>
  <r>
    <s v="ORD1448"/>
    <s v="2025-08-02"/>
    <x v="1"/>
    <x v="1"/>
    <s v="Electronics"/>
    <n v="4821.12"/>
    <n v="1631.56"/>
    <n v="10"/>
    <n v="0.33841928846409131"/>
  </r>
  <r>
    <s v="ORD1449"/>
    <s v="2025-04-14"/>
    <x v="2"/>
    <x v="1"/>
    <s v="Electronics"/>
    <n v="1422.7"/>
    <n v="194.92"/>
    <n v="1"/>
    <n v="0.13700709917762"/>
  </r>
  <r>
    <s v="ORD1450"/>
    <s v="2025-12-25"/>
    <x v="3"/>
    <x v="0"/>
    <s v="Office"/>
    <n v="1111.3499999999999"/>
    <n v="67.86"/>
    <n v="6"/>
    <n v="6.1060871912538811E-2"/>
  </r>
  <r>
    <s v="ORD1451"/>
    <s v="2025-12-22"/>
    <x v="3"/>
    <x v="0"/>
    <s v="Office"/>
    <n v="4987.95"/>
    <n v="443.56"/>
    <n v="4"/>
    <n v="8.8926312412915126E-2"/>
  </r>
  <r>
    <s v="ORD1452"/>
    <s v="2025-09-10"/>
    <x v="2"/>
    <x v="7"/>
    <s v="Electronics"/>
    <n v="3852.21"/>
    <n v="1011.62"/>
    <n v="9"/>
    <n v="0.26260769791885696"/>
  </r>
  <r>
    <s v="ORD1453"/>
    <s v="2025-12-24"/>
    <x v="1"/>
    <x v="3"/>
    <s v="Office"/>
    <n v="951.8"/>
    <n v="221.68"/>
    <n v="1"/>
    <n v="0.23290607270434968"/>
  </r>
  <r>
    <s v="ORD1454"/>
    <s v="2025-06-04"/>
    <x v="0"/>
    <x v="0"/>
    <s v="Office"/>
    <n v="4058.33"/>
    <n v="761.32"/>
    <n v="4"/>
    <n v="0.18759440459499352"/>
  </r>
  <r>
    <s v="ORD1455"/>
    <s v="2025-12-13"/>
    <x v="1"/>
    <x v="5"/>
    <s v="Furniture"/>
    <n v="4398.2299999999996"/>
    <n v="1459.49"/>
    <n v="6"/>
    <n v="0.33183576120393887"/>
  </r>
  <r>
    <s v="ORD1456"/>
    <s v="2025-11-01"/>
    <x v="1"/>
    <x v="4"/>
    <s v="Electronics"/>
    <n v="2220"/>
    <n v="580.01"/>
    <n v="8"/>
    <n v="0.26126576576576577"/>
  </r>
  <r>
    <s v="ORD1457"/>
    <s v="2025-04-26"/>
    <x v="3"/>
    <x v="4"/>
    <s v="Electronics"/>
    <n v="4514.13"/>
    <n v="472.2"/>
    <n v="1"/>
    <n v="0.10460487402888263"/>
  </r>
  <r>
    <s v="ORD1458"/>
    <s v="2025-08-28"/>
    <x v="1"/>
    <x v="1"/>
    <s v="Electronics"/>
    <n v="4257.37"/>
    <n v="621.79999999999995"/>
    <n v="5"/>
    <n v="0.14605260994463717"/>
  </r>
  <r>
    <s v="ORD1459"/>
    <s v="2025-07-03"/>
    <x v="1"/>
    <x v="1"/>
    <s v="Electronics"/>
    <n v="3082.93"/>
    <n v="816.19"/>
    <n v="3"/>
    <n v="0.26474490176552828"/>
  </r>
  <r>
    <s v="ORD1460"/>
    <s v="2025-02-26"/>
    <x v="0"/>
    <x v="6"/>
    <s v="Furniture"/>
    <n v="1944.84"/>
    <n v="663.56"/>
    <n v="2"/>
    <n v="0.34119002077291705"/>
  </r>
  <r>
    <s v="ORD1461"/>
    <s v="2025-04-24"/>
    <x v="1"/>
    <x v="6"/>
    <s v="Furniture"/>
    <n v="1215.79"/>
    <n v="317.93"/>
    <n v="3"/>
    <n v="0.26150075259707684"/>
  </r>
  <r>
    <s v="ORD1462"/>
    <s v="2025-07-04"/>
    <x v="0"/>
    <x v="7"/>
    <s v="Electronics"/>
    <n v="1026.5899999999999"/>
    <n v="297.49"/>
    <n v="9"/>
    <n v="0.28978462677407729"/>
  </r>
  <r>
    <s v="ORD1463"/>
    <s v="2025-04-06"/>
    <x v="0"/>
    <x v="2"/>
    <s v="Office"/>
    <n v="1315.12"/>
    <n v="240.77"/>
    <n v="2"/>
    <n v="0.18307835026461466"/>
  </r>
  <r>
    <s v="ORD1464"/>
    <s v="2025-01-28"/>
    <x v="1"/>
    <x v="4"/>
    <s v="Electronics"/>
    <n v="371.94"/>
    <n v="108.95"/>
    <n v="4"/>
    <n v="0.29292358982631606"/>
  </r>
  <r>
    <s v="ORD1465"/>
    <s v="2025-04-07"/>
    <x v="3"/>
    <x v="1"/>
    <s v="Electronics"/>
    <n v="1377.2"/>
    <n v="458.11"/>
    <n v="6"/>
    <n v="0.33263868719140283"/>
  </r>
  <r>
    <s v="ORD1466"/>
    <s v="2025-09-25"/>
    <x v="2"/>
    <x v="3"/>
    <s v="Office"/>
    <n v="1687.5"/>
    <n v="183.97"/>
    <n v="10"/>
    <n v="0.10901925925925926"/>
  </r>
  <r>
    <s v="ORD1467"/>
    <s v="2025-03-24"/>
    <x v="2"/>
    <x v="3"/>
    <s v="Office"/>
    <n v="1174.8"/>
    <n v="269.93"/>
    <n v="7"/>
    <n v="0.22976676881171265"/>
  </r>
  <r>
    <s v="ORD1468"/>
    <s v="2025-09-08"/>
    <x v="1"/>
    <x v="6"/>
    <s v="Furniture"/>
    <n v="2466.34"/>
    <n v="445.52"/>
    <n v="3"/>
    <n v="0.18064013882919627"/>
  </r>
  <r>
    <s v="ORD1469"/>
    <s v="2025-08-12"/>
    <x v="0"/>
    <x v="2"/>
    <s v="Office"/>
    <n v="3666.1"/>
    <n v="312.18"/>
    <n v="1"/>
    <n v="8.5153160033823408E-2"/>
  </r>
  <r>
    <s v="ORD1470"/>
    <s v="2025-12-02"/>
    <x v="0"/>
    <x v="2"/>
    <s v="Office"/>
    <n v="4024.89"/>
    <n v="1043.04"/>
    <n v="7"/>
    <n v="0.25914745496150204"/>
  </r>
  <r>
    <s v="ORD1471"/>
    <s v="2025-04-30"/>
    <x v="3"/>
    <x v="2"/>
    <s v="Office"/>
    <n v="2006.2"/>
    <n v="194.22"/>
    <n v="2"/>
    <n v="9.6809889343036581E-2"/>
  </r>
  <r>
    <s v="ORD1472"/>
    <s v="2025-12-29"/>
    <x v="2"/>
    <x v="7"/>
    <s v="Electronics"/>
    <n v="150.9"/>
    <n v="32.79"/>
    <n v="9"/>
    <n v="0.21729622266401588"/>
  </r>
  <r>
    <s v="ORD1473"/>
    <s v="2025-11-26"/>
    <x v="2"/>
    <x v="6"/>
    <s v="Furniture"/>
    <n v="3009.68"/>
    <n v="705.2"/>
    <n v="10"/>
    <n v="0.23431062438531675"/>
  </r>
  <r>
    <s v="ORD1474"/>
    <s v="2025-11-07"/>
    <x v="3"/>
    <x v="3"/>
    <s v="Office"/>
    <n v="4430.92"/>
    <n v="999.07"/>
    <n v="10"/>
    <n v="0.22547687613407599"/>
  </r>
  <r>
    <s v="ORD1475"/>
    <s v="2025-12-06"/>
    <x v="1"/>
    <x v="7"/>
    <s v="Electronics"/>
    <n v="1136.77"/>
    <n v="145.41999999999999"/>
    <n v="6"/>
    <n v="0.12792385442965595"/>
  </r>
  <r>
    <s v="ORD1476"/>
    <s v="2025-10-06"/>
    <x v="1"/>
    <x v="2"/>
    <s v="Office"/>
    <n v="1367.71"/>
    <n v="436.13"/>
    <n v="4"/>
    <n v="0.31887607753105557"/>
  </r>
  <r>
    <s v="ORD1477"/>
    <s v="2025-07-07"/>
    <x v="0"/>
    <x v="2"/>
    <s v="Office"/>
    <n v="3371.14"/>
    <n v="274.3"/>
    <n v="9"/>
    <n v="8.1367133966551375E-2"/>
  </r>
  <r>
    <s v="ORD1478"/>
    <s v="2025-06-12"/>
    <x v="1"/>
    <x v="2"/>
    <s v="Office"/>
    <n v="3264.89"/>
    <n v="715.43"/>
    <n v="5"/>
    <n v="0.21912836267071784"/>
  </r>
  <r>
    <s v="ORD1479"/>
    <s v="2025-01-17"/>
    <x v="2"/>
    <x v="4"/>
    <s v="Electronics"/>
    <n v="3199.33"/>
    <n v="170.47"/>
    <n v="7"/>
    <n v="5.3283031134643818E-2"/>
  </r>
  <r>
    <s v="ORD1480"/>
    <s v="2025-10-21"/>
    <x v="2"/>
    <x v="0"/>
    <s v="Office"/>
    <n v="3203.46"/>
    <n v="424.36"/>
    <n v="3"/>
    <n v="0.13246926760440275"/>
  </r>
  <r>
    <s v="ORD1481"/>
    <s v="2025-10-05"/>
    <x v="2"/>
    <x v="4"/>
    <s v="Electronics"/>
    <n v="1561.11"/>
    <n v="107.96"/>
    <n v="1"/>
    <n v="6.9155921107417154E-2"/>
  </r>
  <r>
    <s v="ORD1482"/>
    <s v="2025-05-29"/>
    <x v="2"/>
    <x v="5"/>
    <s v="Furniture"/>
    <n v="3515.48"/>
    <n v="1168.42"/>
    <n v="5"/>
    <n v="0.3323642859581053"/>
  </r>
  <r>
    <s v="ORD1483"/>
    <s v="2025-10-10"/>
    <x v="2"/>
    <x v="7"/>
    <s v="Electronics"/>
    <n v="2516.3000000000002"/>
    <n v="386"/>
    <n v="7"/>
    <n v="0.15339983308826449"/>
  </r>
  <r>
    <s v="ORD1484"/>
    <s v="2025-10-17"/>
    <x v="2"/>
    <x v="4"/>
    <s v="Electronics"/>
    <n v="3968.32"/>
    <n v="1159.73"/>
    <n v="7"/>
    <n v="0.29224709700830576"/>
  </r>
  <r>
    <s v="ORD1485"/>
    <s v="2025-08-25"/>
    <x v="2"/>
    <x v="6"/>
    <s v="Furniture"/>
    <n v="2610.13"/>
    <n v="559.37"/>
    <n v="10"/>
    <n v="0.21430733335121238"/>
  </r>
  <r>
    <s v="ORD1486"/>
    <s v="2025-08-02"/>
    <x v="3"/>
    <x v="0"/>
    <s v="Office"/>
    <n v="4204.87"/>
    <n v="709.33"/>
    <n v="7"/>
    <n v="0.16869249227681238"/>
  </r>
  <r>
    <s v="ORD1487"/>
    <s v="2025-10-08"/>
    <x v="1"/>
    <x v="6"/>
    <s v="Furniture"/>
    <n v="1966.88"/>
    <n v="107.66"/>
    <n v="4"/>
    <n v="5.47364353697226E-2"/>
  </r>
  <r>
    <s v="ORD1488"/>
    <s v="2025-10-29"/>
    <x v="3"/>
    <x v="4"/>
    <s v="Electronics"/>
    <n v="2581.2399999999998"/>
    <n v="291.45"/>
    <n v="2"/>
    <n v="0.11291084904929415"/>
  </r>
  <r>
    <s v="ORD1489"/>
    <s v="2025-04-27"/>
    <x v="3"/>
    <x v="1"/>
    <s v="Electronics"/>
    <n v="3232.81"/>
    <n v="1064.08"/>
    <n v="8"/>
    <n v="0.32915018203977342"/>
  </r>
  <r>
    <s v="ORD1490"/>
    <s v="2025-08-18"/>
    <x v="3"/>
    <x v="3"/>
    <s v="Office"/>
    <n v="2826.69"/>
    <n v="748.7"/>
    <n v="5"/>
    <n v="0.26486809660769312"/>
  </r>
  <r>
    <s v="ORD1491"/>
    <s v="2025-06-21"/>
    <x v="0"/>
    <x v="6"/>
    <s v="Furniture"/>
    <n v="4934.3999999999996"/>
    <n v="1107.1600000000001"/>
    <n v="5"/>
    <n v="0.2243758106355383"/>
  </r>
  <r>
    <s v="ORD1492"/>
    <s v="2025-06-12"/>
    <x v="0"/>
    <x v="2"/>
    <s v="Office"/>
    <n v="3758.41"/>
    <n v="552.6"/>
    <n v="3"/>
    <n v="0.14703026013660034"/>
  </r>
  <r>
    <s v="ORD1493"/>
    <s v="2025-01-01"/>
    <x v="2"/>
    <x v="5"/>
    <s v="Furniture"/>
    <n v="3972.28"/>
    <n v="1075.1600000000001"/>
    <n v="1"/>
    <n v="0.27066571339381917"/>
  </r>
  <r>
    <s v="ORD1494"/>
    <s v="2025-08-28"/>
    <x v="3"/>
    <x v="5"/>
    <s v="Furniture"/>
    <n v="3603.48"/>
    <n v="1142.6300000000001"/>
    <n v="7"/>
    <n v="0.3170907012110516"/>
  </r>
  <r>
    <s v="ORD1495"/>
    <s v="2025-03-07"/>
    <x v="1"/>
    <x v="4"/>
    <s v="Electronics"/>
    <n v="4408.45"/>
    <n v="717.42"/>
    <n v="6"/>
    <n v="0.16273747008585784"/>
  </r>
  <r>
    <s v="ORD1496"/>
    <s v="2025-01-06"/>
    <x v="0"/>
    <x v="3"/>
    <s v="Office"/>
    <n v="4817.87"/>
    <n v="300.60000000000002"/>
    <n v="1"/>
    <n v="6.2392717113579244E-2"/>
  </r>
  <r>
    <s v="ORD1497"/>
    <s v="2025-05-18"/>
    <x v="2"/>
    <x v="6"/>
    <s v="Furniture"/>
    <n v="3254.59"/>
    <n v="278.77"/>
    <n v="2"/>
    <n v="8.5654414227291295E-2"/>
  </r>
  <r>
    <s v="ORD1498"/>
    <s v="2025-03-11"/>
    <x v="1"/>
    <x v="2"/>
    <s v="Office"/>
    <n v="2215.12"/>
    <n v="772.41"/>
    <n v="6"/>
    <n v="0.3486989418180505"/>
  </r>
  <r>
    <s v="ORD1499"/>
    <s v="2025-08-08"/>
    <x v="2"/>
    <x v="2"/>
    <s v="Office"/>
    <n v="593.92999999999995"/>
    <n v="52.55"/>
    <n v="4"/>
    <n v="8.847844022022798E-2"/>
  </r>
  <r>
    <s v="ORD1500"/>
    <s v="2025-02-21"/>
    <x v="0"/>
    <x v="1"/>
    <s v="Electronics"/>
    <n v="1850.85"/>
    <n v="134.16999999999999"/>
    <n v="9"/>
    <n v="7.2491017640543526E-2"/>
  </r>
  <r>
    <s v="ORD1501"/>
    <s v="2025-04-13"/>
    <x v="3"/>
    <x v="4"/>
    <s v="Electronics"/>
    <n v="487.39"/>
    <n v="91.42"/>
    <n v="10"/>
    <n v="0.187570528734688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s v="ORD1002"/>
    <s v="2025-03-08"/>
    <s v="West"/>
    <s v="Notebook"/>
    <s v="Office"/>
    <n v="3758.11"/>
    <n v="720.77"/>
    <n v="1"/>
    <n v="0.19179055429457892"/>
    <x v="0"/>
  </r>
  <r>
    <s v="ORD1003"/>
    <s v="2025-06-17"/>
    <s v="South"/>
    <s v="Laptop"/>
    <s v="Electronics"/>
    <n v="1646.62"/>
    <n v="360.72"/>
    <n v="1"/>
    <n v="0.21906693711967548"/>
    <x v="1"/>
  </r>
  <r>
    <s v="ORD1004"/>
    <s v="2025-05-17"/>
    <s v="West"/>
    <s v="Pen"/>
    <s v="Office"/>
    <n v="3284.99"/>
    <n v="478.83"/>
    <n v="6"/>
    <n v="0.14576300080061128"/>
    <x v="2"/>
  </r>
  <r>
    <s v="ORD1005"/>
    <s v="2025-12-09"/>
    <s v="South"/>
    <s v="Notebook"/>
    <s v="Office"/>
    <n v="3340.12"/>
    <n v="612.34"/>
    <n v="5"/>
    <n v="0.18332874267990373"/>
    <x v="3"/>
  </r>
  <r>
    <s v="ORD1006"/>
    <s v="2025-03-08"/>
    <s v="East"/>
    <s v="Laptop"/>
    <s v="Electronics"/>
    <n v="4688.07"/>
    <n v="382.95"/>
    <n v="8"/>
    <n v="8.1686066974255928E-2"/>
    <x v="0"/>
  </r>
  <r>
    <s v="ORD1007"/>
    <s v="2025-02-02"/>
    <s v="West"/>
    <s v="Printer"/>
    <s v="Office"/>
    <n v="916.6"/>
    <n v="105.69"/>
    <n v="4"/>
    <n v="0.11530656775038184"/>
    <x v="4"/>
  </r>
  <r>
    <s v="ORD1008"/>
    <s v="2025-06-13"/>
    <s v="West"/>
    <s v="Pen"/>
    <s v="Office"/>
    <n v="4860.28"/>
    <n v="1467.2"/>
    <n v="6"/>
    <n v="0.30187561210465241"/>
    <x v="1"/>
  </r>
  <r>
    <s v="ORD1009"/>
    <s v="2025-11-26"/>
    <s v="West"/>
    <s v="Laptop"/>
    <s v="Electronics"/>
    <n v="1958.79"/>
    <n v="470.66"/>
    <n v="2"/>
    <n v="0.24028098979472023"/>
    <x v="5"/>
  </r>
  <r>
    <s v="ORD1010"/>
    <s v="2025-02-23"/>
    <s v="North"/>
    <s v="Notebook"/>
    <s v="Office"/>
    <n v="3609.56"/>
    <n v="583.14"/>
    <n v="4"/>
    <n v="0.16155431686964616"/>
    <x v="4"/>
  </r>
  <r>
    <s v="ORD1011"/>
    <s v="2025-03-31"/>
    <s v="North"/>
    <s v="Phone"/>
    <s v="Electronics"/>
    <n v="865.22"/>
    <n v="119.19"/>
    <n v="2"/>
    <n v="0.1377568710848108"/>
    <x v="0"/>
  </r>
  <r>
    <s v="ORD1012"/>
    <s v="2025-02-19"/>
    <s v="North"/>
    <s v="Table"/>
    <s v="Furniture"/>
    <n v="2110.5100000000002"/>
    <n v="305.66000000000003"/>
    <n v="2"/>
    <n v="0.14482755352971557"/>
    <x v="4"/>
  </r>
  <r>
    <s v="ORD1013"/>
    <s v="2025-02-01"/>
    <s v="North"/>
    <s v="Notebook"/>
    <s v="Office"/>
    <n v="4204.1899999999996"/>
    <n v="789.62"/>
    <n v="2"/>
    <n v="0.18781739169733053"/>
    <x v="4"/>
  </r>
  <r>
    <s v="ORD1014"/>
    <s v="2025-12-03"/>
    <s v="East"/>
    <s v="Chair"/>
    <s v="Furniture"/>
    <n v="300.8"/>
    <n v="78.09"/>
    <n v="1"/>
    <n v="0.25960771276595745"/>
    <x v="3"/>
  </r>
  <r>
    <s v="ORD1015"/>
    <s v="2025-02-15"/>
    <s v="East"/>
    <s v="Notebook"/>
    <s v="Office"/>
    <n v="2716.89"/>
    <n v="148.99"/>
    <n v="7"/>
    <n v="5.4838436594783012E-2"/>
    <x v="4"/>
  </r>
  <r>
    <s v="ORD1016"/>
    <s v="2025-08-06"/>
    <s v="West"/>
    <s v="Pen"/>
    <s v="Office"/>
    <n v="3764.43"/>
    <n v="739.03"/>
    <n v="5"/>
    <n v="0.19631923026859313"/>
    <x v="6"/>
  </r>
  <r>
    <s v="ORD1017"/>
    <s v="2025-05-24"/>
    <s v="East"/>
    <s v="Printer"/>
    <s v="Office"/>
    <n v="2684.26"/>
    <n v="275.57"/>
    <n v="2"/>
    <n v="0.10266144114206521"/>
    <x v="2"/>
  </r>
  <r>
    <s v="ORD1018"/>
    <s v="2025-02-17"/>
    <s v="North"/>
    <s v="Laptop"/>
    <s v="Electronics"/>
    <n v="4820.97"/>
    <n v="1339.62"/>
    <n v="6"/>
    <n v="0.27787353997224623"/>
    <x v="4"/>
  </r>
  <r>
    <s v="ORD1019"/>
    <s v="2025-04-15"/>
    <s v="West"/>
    <s v="Laptop"/>
    <s v="Electronics"/>
    <n v="4609.9399999999996"/>
    <n v="977.12"/>
    <n v="4"/>
    <n v="0.21195937474240448"/>
    <x v="7"/>
  </r>
  <r>
    <s v="ORD1020"/>
    <s v="2025-08-19"/>
    <s v="North"/>
    <s v="Printer"/>
    <s v="Office"/>
    <n v="465.6"/>
    <n v="106.75"/>
    <n v="2"/>
    <n v="0.22927405498281786"/>
    <x v="6"/>
  </r>
  <r>
    <s v="ORD1021"/>
    <s v="2025-11-29"/>
    <s v="West"/>
    <s v="Laptop"/>
    <s v="Electronics"/>
    <n v="1300.69"/>
    <n v="234.91"/>
    <n v="10"/>
    <n v="0.18060414087907187"/>
    <x v="5"/>
  </r>
  <r>
    <s v="ORD1022"/>
    <s v="2025-08-15"/>
    <s v="North"/>
    <s v="Laptop"/>
    <s v="Electronics"/>
    <n v="1958.64"/>
    <n v="655.4"/>
    <n v="4"/>
    <n v="0.33461994036678511"/>
    <x v="6"/>
  </r>
  <r>
    <s v="ORD1023"/>
    <s v="2025-07-12"/>
    <s v="East"/>
    <s v="Pen"/>
    <s v="Office"/>
    <n v="4837.72"/>
    <n v="1125.8399999999999"/>
    <n v="6"/>
    <n v="0.23272119924261839"/>
    <x v="8"/>
  </r>
  <r>
    <s v="ORD1024"/>
    <s v="2025-08-07"/>
    <s v="West"/>
    <s v="Printer"/>
    <s v="Office"/>
    <n v="3823.46"/>
    <n v="1301.79"/>
    <n v="10"/>
    <n v="0.34047433476484651"/>
    <x v="6"/>
  </r>
  <r>
    <s v="ORD1025"/>
    <s v="2025-05-17"/>
    <s v="West"/>
    <s v="Chair"/>
    <s v="Furniture"/>
    <n v="4956.76"/>
    <n v="883.07"/>
    <n v="4"/>
    <n v="0.17815468168723117"/>
    <x v="2"/>
  </r>
  <r>
    <s v="ORD1026"/>
    <s v="2025-12-15"/>
    <s v="East"/>
    <s v="Pen"/>
    <s v="Office"/>
    <n v="3743.24"/>
    <n v="722.44"/>
    <n v="2"/>
    <n v="0.19299857877133181"/>
    <x v="3"/>
  </r>
  <r>
    <s v="ORD1027"/>
    <s v="2025-11-06"/>
    <s v="South"/>
    <s v="Table"/>
    <s v="Furniture"/>
    <n v="220.99"/>
    <n v="62.9"/>
    <n v="8"/>
    <n v="0.28462826372234035"/>
    <x v="5"/>
  </r>
  <r>
    <s v="ORD1028"/>
    <s v="2025-12-27"/>
    <s v="East"/>
    <s v="Chair"/>
    <s v="Furniture"/>
    <n v="4449.8900000000003"/>
    <n v="1199.42"/>
    <n v="5"/>
    <n v="0.26953924703756721"/>
    <x v="3"/>
  </r>
  <r>
    <s v="ORD1029"/>
    <s v="2025-06-28"/>
    <s v="East"/>
    <s v="Pen"/>
    <s v="Office"/>
    <n v="3724.54"/>
    <n v="573.36"/>
    <n v="1"/>
    <n v="0.15394115783425605"/>
    <x v="1"/>
  </r>
  <r>
    <s v="ORD1030"/>
    <s v="2025-08-09"/>
    <s v="West"/>
    <s v="Phone"/>
    <s v="Electronics"/>
    <n v="2220.1999999999998"/>
    <n v="747.06"/>
    <n v="6"/>
    <n v="0.33648319971173768"/>
    <x v="6"/>
  </r>
  <r>
    <s v="ORD1031"/>
    <s v="2025-07-14"/>
    <s v="South"/>
    <s v="Table"/>
    <s v="Furniture"/>
    <n v="3126.36"/>
    <n v="1065.3699999999999"/>
    <n v="2"/>
    <n v="0.34077009685384918"/>
    <x v="8"/>
  </r>
  <r>
    <s v="ORD1032"/>
    <s v="2025-10-23"/>
    <s v="East"/>
    <s v="Pen"/>
    <s v="Office"/>
    <n v="2214.1999999999998"/>
    <n v="617.69000000000005"/>
    <n v="3"/>
    <n v="0.27896757293830732"/>
    <x v="9"/>
  </r>
  <r>
    <s v="ORD1033"/>
    <s v="2025-04-20"/>
    <s v="East"/>
    <s v="Notebook"/>
    <s v="Office"/>
    <n v="3051.11"/>
    <n v="189.85"/>
    <n v="4"/>
    <n v="6.2223256454208467E-2"/>
    <x v="7"/>
  </r>
  <r>
    <s v="ORD1034"/>
    <s v="2025-11-03"/>
    <s v="North"/>
    <s v="Chair"/>
    <s v="Furniture"/>
    <n v="2903.15"/>
    <n v="354.17"/>
    <n v="10"/>
    <n v="0.12199507431582936"/>
    <x v="5"/>
  </r>
  <r>
    <s v="ORD1035"/>
    <s v="2025-07-12"/>
    <s v="West"/>
    <s v="Chair"/>
    <s v="Furniture"/>
    <n v="3461.53"/>
    <n v="1069.6199999999999"/>
    <n v="6"/>
    <n v="0.30900208867177226"/>
    <x v="8"/>
  </r>
  <r>
    <s v="ORD1036"/>
    <s v="2025-02-25"/>
    <s v="West"/>
    <s v="Printer"/>
    <s v="Office"/>
    <n v="4470.4399999999996"/>
    <n v="1480.4"/>
    <n v="10"/>
    <n v="0.3311530856023121"/>
    <x v="4"/>
  </r>
  <r>
    <s v="ORD1037"/>
    <s v="2025-08-24"/>
    <s v="South"/>
    <s v="Printer"/>
    <s v="Office"/>
    <n v="2618.63"/>
    <n v="862.84"/>
    <n v="5"/>
    <n v="0.32950054035888993"/>
    <x v="6"/>
  </r>
  <r>
    <s v="ORD1038"/>
    <s v="2025-09-19"/>
    <s v="East"/>
    <s v="Table"/>
    <s v="Furniture"/>
    <n v="3405.83"/>
    <n v="855.19"/>
    <n v="4"/>
    <n v="0.25109591494584288"/>
    <x v="10"/>
  </r>
  <r>
    <s v="ORD1039"/>
    <s v="2025-12-03"/>
    <s v="South"/>
    <s v="Printer"/>
    <s v="Office"/>
    <n v="2853.1"/>
    <n v="540.13"/>
    <n v="2"/>
    <n v="0.18931337843047913"/>
    <x v="3"/>
  </r>
  <r>
    <s v="ORD1040"/>
    <s v="2025-06-17"/>
    <s v="West"/>
    <s v="Monitor"/>
    <s v="Electronics"/>
    <n v="4727.93"/>
    <n v="638.05999999999995"/>
    <n v="10"/>
    <n v="0.13495546676875503"/>
    <x v="1"/>
  </r>
  <r>
    <s v="ORD1041"/>
    <s v="2025-05-25"/>
    <s v="South"/>
    <s v="Printer"/>
    <s v="Office"/>
    <n v="2085.6"/>
    <n v="706.93"/>
    <n v="6"/>
    <n v="0.33895761411584197"/>
    <x v="2"/>
  </r>
  <r>
    <s v="ORD1042"/>
    <s v="2025-08-13"/>
    <s v="West"/>
    <s v="Notebook"/>
    <s v="Office"/>
    <n v="4687.1400000000003"/>
    <n v="245.51"/>
    <n v="2"/>
    <n v="5.2379489411453463E-2"/>
    <x v="6"/>
  </r>
  <r>
    <s v="ORD1043"/>
    <s v="2025-03-23"/>
    <s v="North"/>
    <s v="Phone"/>
    <s v="Electronics"/>
    <n v="3559.3"/>
    <n v="231.65"/>
    <n v="9"/>
    <n v="6.5083021942516792E-2"/>
    <x v="0"/>
  </r>
  <r>
    <s v="ORD1044"/>
    <s v="2025-01-17"/>
    <s v="West"/>
    <s v="Notebook"/>
    <s v="Office"/>
    <n v="935.38"/>
    <n v="230.22"/>
    <n v="4"/>
    <n v="0.24612456969360047"/>
    <x v="11"/>
  </r>
  <r>
    <s v="ORD1045"/>
    <s v="2025-03-18"/>
    <s v="East"/>
    <s v="Laptop"/>
    <s v="Electronics"/>
    <n v="1348.36"/>
    <n v="339.48"/>
    <n v="9"/>
    <n v="0.25177252365837022"/>
    <x v="0"/>
  </r>
  <r>
    <s v="ORD1046"/>
    <s v="2025-06-05"/>
    <s v="East"/>
    <s v="Table"/>
    <s v="Furniture"/>
    <n v="932.38"/>
    <n v="184.52"/>
    <n v="10"/>
    <n v="0.19790214290310817"/>
    <x v="1"/>
  </r>
  <r>
    <s v="ORD1047"/>
    <s v="2025-09-08"/>
    <s v="East"/>
    <s v="Pen"/>
    <s v="Office"/>
    <n v="4897.76"/>
    <n v="769.33"/>
    <n v="3"/>
    <n v="0.15707792950246643"/>
    <x v="10"/>
  </r>
  <r>
    <s v="ORD1048"/>
    <s v="2025-09-23"/>
    <s v="West"/>
    <s v="Printer"/>
    <s v="Office"/>
    <n v="3791.71"/>
    <n v="461.92"/>
    <n v="4"/>
    <n v="0.12182366267462438"/>
    <x v="10"/>
  </r>
  <r>
    <s v="ORD1049"/>
    <s v="2025-12-05"/>
    <s v="East"/>
    <s v="Laptop"/>
    <s v="Electronics"/>
    <n v="1944.3"/>
    <n v="636.13"/>
    <n v="7"/>
    <n v="0.32717687599650258"/>
    <x v="3"/>
  </r>
  <r>
    <s v="ORD1050"/>
    <s v="2025-12-07"/>
    <s v="North"/>
    <s v="Chair"/>
    <s v="Furniture"/>
    <n v="1714.65"/>
    <n v="190.44"/>
    <n v="3"/>
    <n v="0.11106639839034205"/>
    <x v="3"/>
  </r>
  <r>
    <s v="ORD1051"/>
    <s v="2025-03-04"/>
    <s v="South"/>
    <s v="Notebook"/>
    <s v="Office"/>
    <n v="2941.49"/>
    <n v="608.91999999999996"/>
    <n v="4"/>
    <n v="0.20701073265589889"/>
    <x v="0"/>
  </r>
  <r>
    <s v="ORD1052"/>
    <s v="2025-03-14"/>
    <s v="East"/>
    <s v="Monitor"/>
    <s v="Electronics"/>
    <n v="4558.04"/>
    <n v="523.79999999999995"/>
    <n v="6"/>
    <n v="0.11491781555229878"/>
    <x v="0"/>
  </r>
  <r>
    <s v="ORD1053"/>
    <s v="2025-08-26"/>
    <s v="East"/>
    <s v="Phone"/>
    <s v="Electronics"/>
    <n v="3529.76"/>
    <n v="275.33"/>
    <n v="10"/>
    <n v="7.800247042291826E-2"/>
    <x v="6"/>
  </r>
  <r>
    <s v="ORD1054"/>
    <s v="2025-02-14"/>
    <s v="West"/>
    <s v="Monitor"/>
    <s v="Electronics"/>
    <n v="481.59"/>
    <n v="73.680000000000007"/>
    <n v="2"/>
    <n v="0.15299320999190186"/>
    <x v="4"/>
  </r>
  <r>
    <s v="ORD1055"/>
    <s v="2025-03-28"/>
    <s v="South"/>
    <s v="Table"/>
    <s v="Furniture"/>
    <n v="3467.43"/>
    <n v="231.26"/>
    <n v="7"/>
    <n v="6.6694929674139064E-2"/>
    <x v="0"/>
  </r>
  <r>
    <s v="ORD1056"/>
    <s v="2025-06-21"/>
    <s v="East"/>
    <s v="Laptop"/>
    <s v="Electronics"/>
    <n v="4949.71"/>
    <n v="1513.69"/>
    <n v="10"/>
    <n v="0.30581387596445048"/>
    <x v="1"/>
  </r>
  <r>
    <s v="ORD1057"/>
    <s v="2025-09-18"/>
    <s v="North"/>
    <s v="Chair"/>
    <s v="Furniture"/>
    <n v="755.59"/>
    <n v="181.9"/>
    <n v="9"/>
    <n v="0.24073902513267778"/>
    <x v="10"/>
  </r>
  <r>
    <s v="ORD1058"/>
    <s v="2025-11-12"/>
    <s v="North"/>
    <s v="Pen"/>
    <s v="Office"/>
    <n v="2875.89"/>
    <n v="711.32"/>
    <n v="3"/>
    <n v="0.24733908459642062"/>
    <x v="5"/>
  </r>
  <r>
    <s v="ORD1059"/>
    <s v="2025-05-16"/>
    <s v="North"/>
    <s v="Printer"/>
    <s v="Office"/>
    <n v="289.82"/>
    <n v="73.36"/>
    <n v="5"/>
    <n v="0.25312262783796841"/>
    <x v="2"/>
  </r>
  <r>
    <s v="ORD1060"/>
    <s v="2025-11-14"/>
    <s v="North"/>
    <s v="Monitor"/>
    <s v="Electronics"/>
    <n v="425.34"/>
    <n v="79.67"/>
    <n v="4"/>
    <n v="0.1873089763483331"/>
    <x v="5"/>
  </r>
  <r>
    <s v="ORD1061"/>
    <s v="2025-06-28"/>
    <s v="North"/>
    <s v="Notebook"/>
    <s v="Office"/>
    <n v="2503.77"/>
    <n v="448.15"/>
    <n v="5"/>
    <n v="0.17899008295490398"/>
    <x v="1"/>
  </r>
  <r>
    <s v="ORD1062"/>
    <s v="2025-05-10"/>
    <s v="North"/>
    <s v="Printer"/>
    <s v="Office"/>
    <n v="3296.8"/>
    <n v="423.46"/>
    <n v="10"/>
    <n v="0.12844576559087598"/>
    <x v="2"/>
  </r>
  <r>
    <s v="ORD1063"/>
    <s v="2025-05-29"/>
    <s v="North"/>
    <s v="Table"/>
    <s v="Furniture"/>
    <n v="3926.73"/>
    <n v="829.41"/>
    <n v="4"/>
    <n v="0.21122155075597251"/>
    <x v="2"/>
  </r>
  <r>
    <s v="ORD1064"/>
    <s v="2025-11-03"/>
    <s v="South"/>
    <s v="Notebook"/>
    <s v="Office"/>
    <n v="4134.1899999999996"/>
    <n v="268.13"/>
    <n v="3"/>
    <n v="6.4856719212227798E-2"/>
    <x v="5"/>
  </r>
  <r>
    <s v="ORD1065"/>
    <s v="2025-09-30"/>
    <s v="West"/>
    <s v="Chair"/>
    <s v="Furniture"/>
    <n v="3385.24"/>
    <n v="1151.49"/>
    <n v="8"/>
    <n v="0.34015018137561887"/>
    <x v="10"/>
  </r>
  <r>
    <s v="ORD1066"/>
    <s v="2025-07-29"/>
    <s v="West"/>
    <s v="Phone"/>
    <s v="Electronics"/>
    <n v="2841.93"/>
    <n v="149.74"/>
    <n v="8"/>
    <n v="5.2689545484934541E-2"/>
    <x v="8"/>
  </r>
  <r>
    <s v="ORD1067"/>
    <s v="2025-12-01"/>
    <s v="North"/>
    <s v="Laptop"/>
    <s v="Electronics"/>
    <n v="4540.28"/>
    <n v="1174.26"/>
    <n v="3"/>
    <n v="0.25863162624331543"/>
    <x v="3"/>
  </r>
  <r>
    <s v="ORD1068"/>
    <s v="2025-04-24"/>
    <s v="East"/>
    <s v="Chair"/>
    <s v="Furniture"/>
    <n v="372.6"/>
    <n v="36.54"/>
    <n v="10"/>
    <n v="9.8067632850241532E-2"/>
    <x v="7"/>
  </r>
  <r>
    <s v="ORD1069"/>
    <s v="2025-08-22"/>
    <s v="East"/>
    <s v="Pen"/>
    <s v="Office"/>
    <n v="353.71"/>
    <n v="18.36"/>
    <n v="7"/>
    <n v="5.190692940544514E-2"/>
    <x v="6"/>
  </r>
  <r>
    <s v="ORD1070"/>
    <s v="2025-07-23"/>
    <s v="North"/>
    <s v="Table"/>
    <s v="Furniture"/>
    <n v="919"/>
    <n v="233.72"/>
    <n v="7"/>
    <n v="0.25431991294885747"/>
    <x v="8"/>
  </r>
  <r>
    <s v="ORD1071"/>
    <s v="2025-01-16"/>
    <s v="East"/>
    <s v="Laptop"/>
    <s v="Electronics"/>
    <n v="4541.88"/>
    <n v="1415.77"/>
    <n v="4"/>
    <n v="0.31171453230820717"/>
    <x v="11"/>
  </r>
  <r>
    <s v="ORD1072"/>
    <s v="2025-08-04"/>
    <s v="North"/>
    <s v="Phone"/>
    <s v="Electronics"/>
    <n v="766.76"/>
    <n v="164.24"/>
    <n v="3"/>
    <n v="0.21420001043351244"/>
    <x v="6"/>
  </r>
  <r>
    <s v="ORD1073"/>
    <s v="2025-10-12"/>
    <s v="East"/>
    <s v="Monitor"/>
    <s v="Electronics"/>
    <n v="4384.43"/>
    <n v="529.52"/>
    <n v="4"/>
    <n v="0.12077282565806728"/>
    <x v="9"/>
  </r>
  <r>
    <s v="ORD1074"/>
    <s v="2025-05-31"/>
    <s v="West"/>
    <s v="Printer"/>
    <s v="Office"/>
    <n v="549.33000000000004"/>
    <n v="139.94999999999999"/>
    <n v="7"/>
    <n v="0.25476489541805469"/>
    <x v="2"/>
  </r>
  <r>
    <s v="ORD1075"/>
    <s v="2025-09-22"/>
    <s v="North"/>
    <s v="Chair"/>
    <s v="Furniture"/>
    <n v="1407.17"/>
    <n v="316.38"/>
    <n v="2"/>
    <n v="0.22483424177604694"/>
    <x v="10"/>
  </r>
  <r>
    <s v="ORD1076"/>
    <s v="2025-12-27"/>
    <s v="South"/>
    <s v="Monitor"/>
    <s v="Electronics"/>
    <n v="4625.32"/>
    <n v="1430.82"/>
    <n v="4"/>
    <n v="0.30934508315100362"/>
    <x v="3"/>
  </r>
  <r>
    <s v="ORD1077"/>
    <s v="2025-03-18"/>
    <s v="West"/>
    <s v="Laptop"/>
    <s v="Electronics"/>
    <n v="1404.82"/>
    <n v="306.43"/>
    <n v="5"/>
    <n v="0.21812758929969678"/>
    <x v="0"/>
  </r>
  <r>
    <s v="ORD1078"/>
    <s v="2025-04-11"/>
    <s v="West"/>
    <s v="Chair"/>
    <s v="Furniture"/>
    <n v="4483.8"/>
    <n v="621.67999999999995"/>
    <n v="9"/>
    <n v="0.13865025201837725"/>
    <x v="7"/>
  </r>
  <r>
    <s v="ORD1079"/>
    <s v="2025-02-13"/>
    <s v="North"/>
    <s v="Chair"/>
    <s v="Furniture"/>
    <n v="284.52"/>
    <n v="77.97"/>
    <n v="8"/>
    <n v="0.27404048924504432"/>
    <x v="4"/>
  </r>
  <r>
    <s v="ORD1080"/>
    <s v="2025-05-19"/>
    <s v="West"/>
    <s v="Phone"/>
    <s v="Electronics"/>
    <n v="1424.46"/>
    <n v="165.05"/>
    <n v="7"/>
    <n v="0.11586846945509176"/>
    <x v="2"/>
  </r>
  <r>
    <s v="ORD1081"/>
    <s v="2025-11-15"/>
    <s v="East"/>
    <s v="Pen"/>
    <s v="Office"/>
    <n v="2905.7"/>
    <n v="618.66999999999996"/>
    <n v="6"/>
    <n v="0.21291599270399558"/>
    <x v="5"/>
  </r>
  <r>
    <s v="ORD1082"/>
    <s v="2025-05-15"/>
    <s v="South"/>
    <s v="Laptop"/>
    <s v="Electronics"/>
    <n v="2768.1"/>
    <n v="611.72"/>
    <n v="10"/>
    <n v="0.22098912611538601"/>
    <x v="2"/>
  </r>
  <r>
    <s v="ORD1083"/>
    <s v="2025-06-26"/>
    <s v="South"/>
    <s v="Table"/>
    <s v="Furniture"/>
    <n v="3206.6"/>
    <n v="916.41"/>
    <n v="1"/>
    <n v="0.28578868583546435"/>
    <x v="1"/>
  </r>
  <r>
    <s v="ORD1084"/>
    <s v="2025-06-26"/>
    <s v="East"/>
    <s v="Phone"/>
    <s v="Electronics"/>
    <n v="4770.5"/>
    <n v="650.67999999999995"/>
    <n v="7"/>
    <n v="0.13639660412954616"/>
    <x v="1"/>
  </r>
  <r>
    <s v="ORD1085"/>
    <s v="2025-02-16"/>
    <s v="West"/>
    <s v="Laptop"/>
    <s v="Electronics"/>
    <n v="1424.92"/>
    <n v="282.45"/>
    <n v="4"/>
    <n v="0.19822165454902729"/>
    <x v="4"/>
  </r>
  <r>
    <s v="ORD1086"/>
    <s v="2025-07-04"/>
    <s v="South"/>
    <s v="Laptop"/>
    <s v="Electronics"/>
    <n v="3914.64"/>
    <n v="460.6"/>
    <n v="3"/>
    <n v="0.1176608832485235"/>
    <x v="8"/>
  </r>
  <r>
    <s v="ORD1087"/>
    <s v="2025-02-22"/>
    <s v="East"/>
    <s v="Printer"/>
    <s v="Office"/>
    <n v="2197.81"/>
    <n v="736.59"/>
    <n v="3"/>
    <n v="0.33514726022722624"/>
    <x v="4"/>
  </r>
  <r>
    <s v="ORD1088"/>
    <s v="2025-08-18"/>
    <s v="West"/>
    <s v="Pen"/>
    <s v="Office"/>
    <n v="2940.33"/>
    <n v="534.20000000000005"/>
    <n v="9"/>
    <n v="0.18168028758676749"/>
    <x v="6"/>
  </r>
  <r>
    <s v="ORD1089"/>
    <s v="2025-09-08"/>
    <s v="West"/>
    <s v="Pen"/>
    <s v="Office"/>
    <n v="238.94"/>
    <n v="34.53"/>
    <n v="8"/>
    <n v="0.14451326692893615"/>
    <x v="10"/>
  </r>
  <r>
    <s v="ORD1090"/>
    <s v="2025-06-24"/>
    <s v="North"/>
    <s v="Laptop"/>
    <s v="Electronics"/>
    <n v="1970.16"/>
    <n v="322.37"/>
    <n v="3"/>
    <n v="0.16362630446258172"/>
    <x v="1"/>
  </r>
  <r>
    <s v="ORD1091"/>
    <s v="2025-07-03"/>
    <s v="West"/>
    <s v="Pen"/>
    <s v="Office"/>
    <n v="4992.0600000000004"/>
    <n v="362.2"/>
    <n v="1"/>
    <n v="7.2555217685684861E-2"/>
    <x v="8"/>
  </r>
  <r>
    <s v="ORD1092"/>
    <s v="2025-04-24"/>
    <s v="East"/>
    <s v="Printer"/>
    <s v="Office"/>
    <n v="353.54"/>
    <n v="84.39"/>
    <n v="1"/>
    <n v="0.2387000056570685"/>
    <x v="7"/>
  </r>
  <r>
    <s v="ORD1093"/>
    <s v="2025-11-30"/>
    <s v="West"/>
    <s v="Printer"/>
    <s v="Office"/>
    <n v="2439.3000000000002"/>
    <n v="280.38"/>
    <n v="4"/>
    <n v="0.11494281146230476"/>
    <x v="5"/>
  </r>
  <r>
    <s v="ORD1094"/>
    <s v="2025-09-28"/>
    <s v="West"/>
    <s v="Table"/>
    <s v="Furniture"/>
    <n v="2168.1799999999998"/>
    <n v="524.5"/>
    <n v="7"/>
    <n v="0.24190795967124504"/>
    <x v="10"/>
  </r>
  <r>
    <s v="ORD1095"/>
    <s v="2025-04-24"/>
    <s v="East"/>
    <s v="Printer"/>
    <s v="Office"/>
    <n v="2830.96"/>
    <n v="176.15"/>
    <n v="9"/>
    <n v="6.2222708904399925E-2"/>
    <x v="7"/>
  </r>
  <r>
    <s v="ORD1096"/>
    <s v="2025-11-15"/>
    <s v="West"/>
    <s v="Chair"/>
    <s v="Furniture"/>
    <n v="1760.76"/>
    <n v="531.82000000000005"/>
    <n v="3"/>
    <n v="0.30204002816965403"/>
    <x v="5"/>
  </r>
  <r>
    <s v="ORD1097"/>
    <s v="2025-02-24"/>
    <s v="East"/>
    <s v="Printer"/>
    <s v="Office"/>
    <n v="1637.81"/>
    <n v="485.94"/>
    <n v="1"/>
    <n v="0.29670108254315214"/>
    <x v="4"/>
  </r>
  <r>
    <s v="ORD1098"/>
    <s v="2025-09-04"/>
    <s v="North"/>
    <s v="Printer"/>
    <s v="Office"/>
    <n v="2127.79"/>
    <n v="117.74"/>
    <n v="10"/>
    <n v="5.5334408000789551E-2"/>
    <x v="10"/>
  </r>
  <r>
    <s v="ORD1099"/>
    <s v="2025-12-21"/>
    <s v="East"/>
    <s v="Notebook"/>
    <s v="Office"/>
    <n v="4515.2"/>
    <n v="321.62"/>
    <n v="5"/>
    <n v="7.1230510276399719E-2"/>
    <x v="3"/>
  </r>
  <r>
    <s v="ORD1100"/>
    <s v="2025-10-11"/>
    <s v="West"/>
    <s v="Chair"/>
    <s v="Furniture"/>
    <n v="3106.49"/>
    <n v="686.76"/>
    <n v="2"/>
    <n v="0.22107265756529074"/>
    <x v="9"/>
  </r>
  <r>
    <s v="ORD1101"/>
    <s v="2025-10-07"/>
    <s v="North"/>
    <s v="Phone"/>
    <s v="Electronics"/>
    <n v="578.83000000000004"/>
    <n v="87.76"/>
    <n v="3"/>
    <n v="0.15161619128241452"/>
    <x v="9"/>
  </r>
  <r>
    <s v="ORD1102"/>
    <s v="2025-05-31"/>
    <s v="West"/>
    <s v="Chair"/>
    <s v="Furniture"/>
    <n v="3556.17"/>
    <n v="453.33"/>
    <n v="5"/>
    <n v="0.12747703287525625"/>
    <x v="2"/>
  </r>
  <r>
    <s v="ORD1103"/>
    <s v="2025-11-09"/>
    <s v="East"/>
    <s v="Phone"/>
    <s v="Electronics"/>
    <n v="886.98"/>
    <n v="158.77000000000001"/>
    <n v="7"/>
    <n v="0.1790006539042594"/>
    <x v="5"/>
  </r>
  <r>
    <s v="ORD1104"/>
    <s v="2025-06-30"/>
    <s v="West"/>
    <s v="Table"/>
    <s v="Furniture"/>
    <n v="3227.99"/>
    <n v="1026.83"/>
    <n v="4"/>
    <n v="0.31810197677192309"/>
    <x v="1"/>
  </r>
  <r>
    <s v="ORD1105"/>
    <s v="2025-06-06"/>
    <s v="South"/>
    <s v="Notebook"/>
    <s v="Office"/>
    <n v="1770.66"/>
    <n v="496.6"/>
    <n v="6"/>
    <n v="0.28046039329967359"/>
    <x v="1"/>
  </r>
  <r>
    <s v="ORD1106"/>
    <s v="2025-12-07"/>
    <s v="East"/>
    <s v="Notebook"/>
    <s v="Office"/>
    <n v="426.44"/>
    <n v="85.8"/>
    <n v="8"/>
    <n v="0.20120063783885189"/>
    <x v="3"/>
  </r>
  <r>
    <s v="ORD1107"/>
    <s v="2025-09-22"/>
    <s v="South"/>
    <s v="Notebook"/>
    <s v="Office"/>
    <n v="2948.75"/>
    <n v="384.21"/>
    <n v="9"/>
    <n v="0.13029588808817294"/>
    <x v="10"/>
  </r>
  <r>
    <s v="ORD1108"/>
    <s v="2025-06-14"/>
    <s v="North"/>
    <s v="Phone"/>
    <s v="Electronics"/>
    <n v="3346.66"/>
    <n v="435.74"/>
    <n v="7"/>
    <n v="0.13020145458457089"/>
    <x v="1"/>
  </r>
  <r>
    <s v="ORD1109"/>
    <s v="2025-05-06"/>
    <s v="West"/>
    <s v="Notebook"/>
    <s v="Office"/>
    <n v="2990.08"/>
    <n v="590.54999999999995"/>
    <n v="4"/>
    <n v="0.19750307684075341"/>
    <x v="2"/>
  </r>
  <r>
    <s v="ORD1110"/>
    <s v="2025-05-25"/>
    <s v="West"/>
    <s v="Laptop"/>
    <s v="Electronics"/>
    <n v="4118.57"/>
    <n v="343.23"/>
    <n v="4"/>
    <n v="8.3337177709739071E-2"/>
    <x v="2"/>
  </r>
  <r>
    <s v="ORD1111"/>
    <s v="2025-06-18"/>
    <s v="East"/>
    <s v="Monitor"/>
    <s v="Electronics"/>
    <n v="3320.2"/>
    <n v="988.34"/>
    <n v="4"/>
    <n v="0.29767483886512863"/>
    <x v="1"/>
  </r>
  <r>
    <s v="ORD1112"/>
    <s v="2025-03-16"/>
    <s v="East"/>
    <s v="Phone"/>
    <s v="Electronics"/>
    <n v="3015.58"/>
    <n v="663.9"/>
    <n v="4"/>
    <n v="0.22015665311482369"/>
    <x v="0"/>
  </r>
  <r>
    <s v="ORD1113"/>
    <s v="2025-01-17"/>
    <s v="East"/>
    <s v="Phone"/>
    <s v="Electronics"/>
    <n v="2398.79"/>
    <n v="658.37"/>
    <n v="10"/>
    <n v="0.27445920651661881"/>
    <x v="11"/>
  </r>
  <r>
    <s v="ORD1114"/>
    <s v="2025-06-24"/>
    <s v="North"/>
    <s v="Laptop"/>
    <s v="Electronics"/>
    <n v="3505.24"/>
    <n v="596.71"/>
    <n v="3"/>
    <n v="0.17023370724971759"/>
    <x v="1"/>
  </r>
  <r>
    <s v="ORD1115"/>
    <s v="2025-02-01"/>
    <s v="South"/>
    <s v="Notebook"/>
    <s v="Office"/>
    <n v="1116.1500000000001"/>
    <n v="171.42"/>
    <n v="7"/>
    <n v="0.15358150786184649"/>
    <x v="4"/>
  </r>
  <r>
    <s v="ORD1116"/>
    <s v="2025-04-22"/>
    <s v="West"/>
    <s v="Pen"/>
    <s v="Office"/>
    <n v="1767.21"/>
    <n v="108.92"/>
    <n v="8"/>
    <n v="6.1633874864900039E-2"/>
    <x v="7"/>
  </r>
  <r>
    <s v="ORD1117"/>
    <s v="2025-08-21"/>
    <s v="South"/>
    <s v="Phone"/>
    <s v="Electronics"/>
    <n v="712.47"/>
    <n v="198.12"/>
    <n v="9"/>
    <n v="0.27807486631016043"/>
    <x v="6"/>
  </r>
  <r>
    <s v="ORD1118"/>
    <s v="2025-09-12"/>
    <s v="East"/>
    <s v="Table"/>
    <s v="Furniture"/>
    <n v="980.01"/>
    <n v="109.59"/>
    <n v="4"/>
    <n v="0.11182538953684147"/>
    <x v="10"/>
  </r>
  <r>
    <s v="ORD1119"/>
    <s v="2025-09-15"/>
    <s v="North"/>
    <s v="Printer"/>
    <s v="Office"/>
    <n v="1410.02"/>
    <n v="251.81"/>
    <n v="10"/>
    <n v="0.17858611934582488"/>
    <x v="10"/>
  </r>
  <r>
    <s v="ORD1120"/>
    <s v="2025-08-02"/>
    <s v="East"/>
    <s v="Pen"/>
    <s v="Office"/>
    <n v="4497.5200000000004"/>
    <n v="592.04"/>
    <n v="8"/>
    <n v="0.13163699105284687"/>
    <x v="6"/>
  </r>
  <r>
    <s v="ORD1121"/>
    <s v="2025-03-30"/>
    <s v="North"/>
    <s v="Chair"/>
    <s v="Furniture"/>
    <n v="1873.74"/>
    <n v="226.41"/>
    <n v="1"/>
    <n v="0.12083319991033975"/>
    <x v="0"/>
  </r>
  <r>
    <s v="ORD1122"/>
    <s v="2025-08-13"/>
    <s v="East"/>
    <s v="Monitor"/>
    <s v="Electronics"/>
    <n v="919.79"/>
    <n v="146.24"/>
    <n v="7"/>
    <n v="0.15899281357701217"/>
    <x v="6"/>
  </r>
  <r>
    <s v="ORD1123"/>
    <s v="2025-10-20"/>
    <s v="East"/>
    <s v="Pen"/>
    <s v="Office"/>
    <n v="3585.61"/>
    <n v="1041.08"/>
    <n v="3"/>
    <n v="0.29034948028368951"/>
    <x v="9"/>
  </r>
  <r>
    <s v="ORD1124"/>
    <s v="2025-01-08"/>
    <s v="East"/>
    <s v="Printer"/>
    <s v="Office"/>
    <n v="1024.31"/>
    <n v="211.53"/>
    <n v="1"/>
    <n v="0.2065097480255001"/>
    <x v="11"/>
  </r>
  <r>
    <s v="ORD1125"/>
    <s v="2025-07-19"/>
    <s v="North"/>
    <s v="Table"/>
    <s v="Furniture"/>
    <n v="2507.67"/>
    <n v="132.84"/>
    <n v="9"/>
    <n v="5.2973477371424472E-2"/>
    <x v="8"/>
  </r>
  <r>
    <s v="ORD1126"/>
    <s v="2025-12-01"/>
    <s v="East"/>
    <s v="Laptop"/>
    <s v="Electronics"/>
    <n v="2656.83"/>
    <n v="533.03"/>
    <n v="5"/>
    <n v="0.20062631030212696"/>
    <x v="3"/>
  </r>
  <r>
    <s v="ORD1127"/>
    <s v="2025-04-24"/>
    <s v="East"/>
    <s v="Monitor"/>
    <s v="Electronics"/>
    <n v="4043.34"/>
    <n v="813.61"/>
    <n v="7"/>
    <n v="0.20122225684706208"/>
    <x v="7"/>
  </r>
  <r>
    <s v="ORD1128"/>
    <s v="2025-02-06"/>
    <s v="South"/>
    <s v="Chair"/>
    <s v="Furniture"/>
    <n v="4286.43"/>
    <n v="1000.72"/>
    <n v="4"/>
    <n v="0.233462345121698"/>
    <x v="4"/>
  </r>
  <r>
    <s v="ORD1129"/>
    <s v="2025-05-13"/>
    <s v="South"/>
    <s v="Pen"/>
    <s v="Office"/>
    <n v="4292.5600000000004"/>
    <n v="480.91"/>
    <n v="7"/>
    <n v="0.11203337868311683"/>
    <x v="2"/>
  </r>
  <r>
    <s v="ORD1130"/>
    <s v="2025-09-21"/>
    <s v="West"/>
    <s v="Laptop"/>
    <s v="Electronics"/>
    <n v="2484.91"/>
    <n v="150.72999999999999"/>
    <n v="8"/>
    <n v="6.0658132487695728E-2"/>
    <x v="10"/>
  </r>
  <r>
    <s v="ORD1131"/>
    <s v="2025-07-27"/>
    <s v="South"/>
    <s v="Laptop"/>
    <s v="Electronics"/>
    <n v="297.67"/>
    <n v="66.53"/>
    <n v="5"/>
    <n v="0.22350253636577416"/>
    <x v="8"/>
  </r>
  <r>
    <s v="ORD1132"/>
    <s v="2025-10-02"/>
    <s v="West"/>
    <s v="Pen"/>
    <s v="Office"/>
    <n v="2817.68"/>
    <n v="838.18"/>
    <n v="9"/>
    <n v="0.29747167882797193"/>
    <x v="9"/>
  </r>
  <r>
    <s v="ORD1133"/>
    <s v="2025-07-30"/>
    <s v="South"/>
    <s v="Chair"/>
    <s v="Furniture"/>
    <n v="3727.71"/>
    <n v="477.8"/>
    <n v="5"/>
    <n v="0.1281752067623286"/>
    <x v="8"/>
  </r>
  <r>
    <s v="ORD1134"/>
    <s v="2025-06-15"/>
    <s v="South"/>
    <s v="Printer"/>
    <s v="Office"/>
    <n v="3012.81"/>
    <n v="272.61"/>
    <n v="2"/>
    <n v="9.0483634879066396E-2"/>
    <x v="1"/>
  </r>
  <r>
    <s v="ORD1135"/>
    <s v="2025-03-28"/>
    <s v="West"/>
    <s v="Notebook"/>
    <s v="Office"/>
    <n v="2993.43"/>
    <n v="223.04"/>
    <n v="3"/>
    <n v="7.4509843223325753E-2"/>
    <x v="0"/>
  </r>
  <r>
    <s v="ORD1136"/>
    <s v="2025-01-03"/>
    <s v="South"/>
    <s v="Monitor"/>
    <s v="Electronics"/>
    <n v="1872.53"/>
    <n v="229.3"/>
    <n v="9"/>
    <n v="0.12245464692154466"/>
    <x v="11"/>
  </r>
  <r>
    <s v="ORD1137"/>
    <s v="2025-06-07"/>
    <s v="North"/>
    <s v="Printer"/>
    <s v="Office"/>
    <n v="4232.2299999999996"/>
    <n v="1066.6400000000001"/>
    <n v="7"/>
    <n v="0.25202789073372672"/>
    <x v="1"/>
  </r>
  <r>
    <s v="ORD1138"/>
    <s v="2025-05-10"/>
    <s v="East"/>
    <s v="Table"/>
    <s v="Furniture"/>
    <n v="2849.89"/>
    <n v="973.97"/>
    <n v="2"/>
    <n v="0.34175705027211578"/>
    <x v="2"/>
  </r>
  <r>
    <s v="ORD1139"/>
    <s v="2025-12-06"/>
    <s v="North"/>
    <s v="Printer"/>
    <s v="Office"/>
    <n v="948.6"/>
    <n v="98.88"/>
    <n v="5"/>
    <n v="0.10423782416192283"/>
    <x v="3"/>
  </r>
  <r>
    <s v="ORD1140"/>
    <s v="2025-12-23"/>
    <s v="West"/>
    <s v="Pen"/>
    <s v="Office"/>
    <n v="4089.8"/>
    <n v="598.57000000000005"/>
    <n v="1"/>
    <n v="0.14635679006308377"/>
    <x v="3"/>
  </r>
  <r>
    <s v="ORD1141"/>
    <s v="2025-08-30"/>
    <s v="East"/>
    <s v="Chair"/>
    <s v="Furniture"/>
    <n v="3069.38"/>
    <n v="294.51"/>
    <n v="2"/>
    <n v="9.5950973812300847E-2"/>
    <x v="6"/>
  </r>
  <r>
    <s v="ORD1142"/>
    <s v="2025-05-23"/>
    <s v="North"/>
    <s v="Chair"/>
    <s v="Furniture"/>
    <n v="864.74"/>
    <n v="102.74"/>
    <n v="6"/>
    <n v="0.11881027823392001"/>
    <x v="2"/>
  </r>
  <r>
    <s v="ORD1143"/>
    <s v="2025-09-25"/>
    <s v="East"/>
    <s v="Printer"/>
    <s v="Office"/>
    <n v="4732.87"/>
    <n v="882.64"/>
    <n v="4"/>
    <n v="0.18649149458996339"/>
    <x v="10"/>
  </r>
  <r>
    <s v="ORD1144"/>
    <s v="2025-11-26"/>
    <s v="East"/>
    <s v="Pen"/>
    <s v="Office"/>
    <n v="2592.7800000000002"/>
    <n v="543.22"/>
    <n v="10"/>
    <n v="0.20951256951997468"/>
    <x v="5"/>
  </r>
  <r>
    <s v="ORD1145"/>
    <s v="2025-12-31"/>
    <s v="West"/>
    <s v="Phone"/>
    <s v="Electronics"/>
    <n v="1786.87"/>
    <n v="155.78"/>
    <n v="6"/>
    <n v="8.7180376860096151E-2"/>
    <x v="3"/>
  </r>
  <r>
    <s v="ORD1146"/>
    <s v="2025-06-26"/>
    <s v="West"/>
    <s v="Pen"/>
    <s v="Office"/>
    <n v="1281.23"/>
    <n v="295.43"/>
    <n v="9"/>
    <n v="0.23058311154125333"/>
    <x v="1"/>
  </r>
  <r>
    <s v="ORD1147"/>
    <s v="2025-06-26"/>
    <s v="North"/>
    <s v="Pen"/>
    <s v="Office"/>
    <n v="1175.6400000000001"/>
    <n v="60.94"/>
    <n v="10"/>
    <n v="5.1835595930727084E-2"/>
    <x v="1"/>
  </r>
  <r>
    <s v="ORD1148"/>
    <s v="2025-06-09"/>
    <s v="West"/>
    <s v="Phone"/>
    <s v="Electronics"/>
    <n v="2939.37"/>
    <n v="861.49"/>
    <n v="9"/>
    <n v="0.29308661379819484"/>
    <x v="1"/>
  </r>
  <r>
    <s v="ORD1149"/>
    <s v="2025-07-15"/>
    <s v="East"/>
    <s v="Monitor"/>
    <s v="Electronics"/>
    <n v="2128.2199999999998"/>
    <n v="376.39"/>
    <n v="3"/>
    <n v="0.17685671594102115"/>
    <x v="8"/>
  </r>
  <r>
    <s v="ORD1150"/>
    <s v="2025-11-28"/>
    <s v="East"/>
    <s v="Table"/>
    <s v="Furniture"/>
    <n v="4740.92"/>
    <n v="1318.11"/>
    <n v="10"/>
    <n v="0.27802831517933224"/>
    <x v="5"/>
  </r>
  <r>
    <s v="ORD1151"/>
    <s v="2025-03-10"/>
    <s v="South"/>
    <s v="Pen"/>
    <s v="Office"/>
    <n v="338.41"/>
    <n v="29.19"/>
    <n v="10"/>
    <n v="8.6256316302709732E-2"/>
    <x v="0"/>
  </r>
  <r>
    <s v="ORD1152"/>
    <s v="2025-11-25"/>
    <s v="North"/>
    <s v="Monitor"/>
    <s v="Electronics"/>
    <n v="4828.93"/>
    <n v="1420.31"/>
    <n v="7"/>
    <n v="0.29412519957837446"/>
    <x v="5"/>
  </r>
  <r>
    <s v="ORD1153"/>
    <s v="2025-07-26"/>
    <s v="East"/>
    <s v="Printer"/>
    <s v="Office"/>
    <n v="2815.75"/>
    <n v="469.32"/>
    <n v="7"/>
    <n v="0.16667672911302495"/>
    <x v="8"/>
  </r>
  <r>
    <s v="ORD1154"/>
    <s v="2025-11-24"/>
    <s v="South"/>
    <s v="Laptop"/>
    <s v="Electronics"/>
    <n v="2629.39"/>
    <n v="654.53"/>
    <n v="4"/>
    <n v="0.24892845869193997"/>
    <x v="5"/>
  </r>
  <r>
    <s v="ORD1155"/>
    <s v="2025-09-27"/>
    <s v="South"/>
    <s v="Printer"/>
    <s v="Office"/>
    <n v="1561.31"/>
    <n v="100.77"/>
    <n v="7"/>
    <n v="6.4541955153044561E-2"/>
    <x v="10"/>
  </r>
  <r>
    <s v="ORD1156"/>
    <s v="2025-06-17"/>
    <s v="North"/>
    <s v="Monitor"/>
    <s v="Electronics"/>
    <n v="2909.15"/>
    <n v="812.21"/>
    <n v="6"/>
    <n v="0.27919151642232265"/>
    <x v="1"/>
  </r>
  <r>
    <s v="ORD1157"/>
    <s v="2025-07-07"/>
    <s v="West"/>
    <s v="Notebook"/>
    <s v="Office"/>
    <n v="2692.32"/>
    <n v="551.77"/>
    <n v="8"/>
    <n v="0.20494220597848695"/>
    <x v="8"/>
  </r>
  <r>
    <s v="ORD1158"/>
    <s v="2025-10-25"/>
    <s v="East"/>
    <s v="Phone"/>
    <s v="Electronics"/>
    <n v="1980.48"/>
    <n v="428.35"/>
    <n v="1"/>
    <n v="0.2162859508805946"/>
    <x v="9"/>
  </r>
  <r>
    <s v="ORD1159"/>
    <s v="2025-02-20"/>
    <s v="East"/>
    <s v="Notebook"/>
    <s v="Office"/>
    <n v="1741.05"/>
    <n v="453.01"/>
    <n v="7"/>
    <n v="0.26019356135665261"/>
    <x v="4"/>
  </r>
  <r>
    <s v="ORD1160"/>
    <s v="2025-04-25"/>
    <s v="South"/>
    <s v="Chair"/>
    <s v="Furniture"/>
    <n v="3646.58"/>
    <n v="1128.48"/>
    <n v="3"/>
    <n v="0.30946256492384644"/>
    <x v="7"/>
  </r>
  <r>
    <s v="ORD1161"/>
    <s v="2025-12-01"/>
    <s v="West"/>
    <s v="Chair"/>
    <s v="Furniture"/>
    <n v="4836.96"/>
    <n v="1377.79"/>
    <n v="6"/>
    <n v="0.28484626707684163"/>
    <x v="3"/>
  </r>
  <r>
    <s v="ORD1162"/>
    <s v="2025-11-24"/>
    <s v="West"/>
    <s v="Monitor"/>
    <s v="Electronics"/>
    <n v="574.33000000000004"/>
    <n v="62.75"/>
    <n v="3"/>
    <n v="0.10925774380582591"/>
    <x v="5"/>
  </r>
  <r>
    <s v="ORD1163"/>
    <s v="2025-10-24"/>
    <s v="West"/>
    <s v="Table"/>
    <s v="Furniture"/>
    <n v="4483.3599999999997"/>
    <n v="1487.32"/>
    <n v="2"/>
    <n v="0.33174226473002394"/>
    <x v="9"/>
  </r>
  <r>
    <s v="ORD1164"/>
    <s v="2025-12-25"/>
    <s v="North"/>
    <s v="Pen"/>
    <s v="Office"/>
    <n v="3431.1"/>
    <n v="956.28"/>
    <n v="3"/>
    <n v="0.27870945177931278"/>
    <x v="3"/>
  </r>
  <r>
    <s v="ORD1165"/>
    <s v="2025-08-04"/>
    <s v="North"/>
    <s v="Notebook"/>
    <s v="Office"/>
    <n v="3146.36"/>
    <n v="420.77"/>
    <n v="1"/>
    <n v="0.13373231289490076"/>
    <x v="6"/>
  </r>
  <r>
    <s v="ORD1166"/>
    <s v="2025-09-01"/>
    <s v="South"/>
    <s v="Pen"/>
    <s v="Office"/>
    <n v="2149.98"/>
    <n v="662.99"/>
    <n v="2"/>
    <n v="0.30837031042149232"/>
    <x v="10"/>
  </r>
  <r>
    <s v="ORD1167"/>
    <s v="2025-06-08"/>
    <s v="West"/>
    <s v="Laptop"/>
    <s v="Electronics"/>
    <n v="1161.97"/>
    <n v="302.95999999999998"/>
    <n v="4"/>
    <n v="0.26072962296789071"/>
    <x v="1"/>
  </r>
  <r>
    <s v="ORD1168"/>
    <s v="2025-03-24"/>
    <s v="South"/>
    <s v="Phone"/>
    <s v="Electronics"/>
    <n v="4279.9399999999996"/>
    <n v="265.95999999999998"/>
    <n v="5"/>
    <n v="6.2141058052215689E-2"/>
    <x v="0"/>
  </r>
  <r>
    <s v="ORD1169"/>
    <s v="2025-08-31"/>
    <s v="West"/>
    <s v="Notebook"/>
    <s v="Office"/>
    <n v="3696.26"/>
    <n v="963.39"/>
    <n v="7"/>
    <n v="0.26063913252855586"/>
    <x v="6"/>
  </r>
  <r>
    <s v="ORD1170"/>
    <s v="2025-03-16"/>
    <s v="West"/>
    <s v="Phone"/>
    <s v="Electronics"/>
    <n v="1017.29"/>
    <n v="147.31"/>
    <n v="8"/>
    <n v="0.14480629908875542"/>
    <x v="0"/>
  </r>
  <r>
    <s v="ORD1171"/>
    <s v="2025-02-24"/>
    <s v="North"/>
    <s v="Printer"/>
    <s v="Office"/>
    <n v="3881.45"/>
    <n v="318.26"/>
    <n v="10"/>
    <n v="8.1995130685697359E-2"/>
    <x v="4"/>
  </r>
  <r>
    <s v="ORD1172"/>
    <s v="2025-01-06"/>
    <s v="South"/>
    <s v="Pen"/>
    <s v="Office"/>
    <n v="4136.1899999999996"/>
    <n v="439.4"/>
    <n v="4"/>
    <n v="0.10623303088107655"/>
    <x v="11"/>
  </r>
  <r>
    <s v="ORD1173"/>
    <s v="2025-08-04"/>
    <s v="West"/>
    <s v="Monitor"/>
    <s v="Electronics"/>
    <n v="2583.29"/>
    <n v="469.27"/>
    <n v="6"/>
    <n v="0.18165595035787696"/>
    <x v="6"/>
  </r>
  <r>
    <s v="ORD1174"/>
    <s v="2025-08-22"/>
    <s v="South"/>
    <s v="Table"/>
    <s v="Furniture"/>
    <n v="439.93"/>
    <n v="48.53"/>
    <n v="5"/>
    <n v="0.1103130043415998"/>
    <x v="6"/>
  </r>
  <r>
    <s v="ORD1175"/>
    <s v="2025-01-18"/>
    <s v="East"/>
    <s v="Chair"/>
    <s v="Furniture"/>
    <n v="2970.5"/>
    <n v="911.63"/>
    <n v="1"/>
    <n v="0.30689446221174888"/>
    <x v="11"/>
  </r>
  <r>
    <s v="ORD1176"/>
    <s v="2025-01-26"/>
    <s v="West"/>
    <s v="Printer"/>
    <s v="Office"/>
    <n v="2720.55"/>
    <n v="728.26"/>
    <n v="4"/>
    <n v="0.26768851886567052"/>
    <x v="11"/>
  </r>
  <r>
    <s v="ORD1177"/>
    <s v="2025-07-06"/>
    <s v="West"/>
    <s v="Laptop"/>
    <s v="Electronics"/>
    <n v="2693.52"/>
    <n v="772.68"/>
    <n v="4"/>
    <n v="0.28686625679408356"/>
    <x v="8"/>
  </r>
  <r>
    <s v="ORD1178"/>
    <s v="2025-09-07"/>
    <s v="East"/>
    <s v="Phone"/>
    <s v="Electronics"/>
    <n v="2426.1"/>
    <n v="676.16"/>
    <n v="4"/>
    <n v="0.27870244425209184"/>
    <x v="10"/>
  </r>
  <r>
    <s v="ORD1179"/>
    <s v="2025-08-18"/>
    <s v="West"/>
    <s v="Table"/>
    <s v="Furniture"/>
    <n v="397.89"/>
    <n v="92.53"/>
    <n v="6"/>
    <n v="0.23255171027168314"/>
    <x v="6"/>
  </r>
  <r>
    <s v="ORD1180"/>
    <s v="2025-03-11"/>
    <s v="South"/>
    <s v="Phone"/>
    <s v="Electronics"/>
    <n v="524.01"/>
    <n v="175.83"/>
    <n v="4"/>
    <n v="0.33554703154519955"/>
    <x v="0"/>
  </r>
  <r>
    <s v="ORD1181"/>
    <s v="2025-04-13"/>
    <s v="South"/>
    <s v="Monitor"/>
    <s v="Electronics"/>
    <n v="4709.63"/>
    <n v="912.96"/>
    <n v="4"/>
    <n v="0.19384962300647821"/>
    <x v="7"/>
  </r>
  <r>
    <s v="ORD1182"/>
    <s v="2025-04-30"/>
    <s v="West"/>
    <s v="Laptop"/>
    <s v="Electronics"/>
    <n v="367.49"/>
    <n v="40.64"/>
    <n v="1"/>
    <n v="0.11058804321206019"/>
    <x v="7"/>
  </r>
  <r>
    <s v="ORD1183"/>
    <s v="2025-09-06"/>
    <s v="West"/>
    <s v="Laptop"/>
    <s v="Electronics"/>
    <n v="3059.05"/>
    <n v="337.9"/>
    <n v="9"/>
    <n v="0.11045912946829897"/>
    <x v="10"/>
  </r>
  <r>
    <s v="ORD1184"/>
    <s v="2025-04-01"/>
    <s v="East"/>
    <s v="Chair"/>
    <s v="Furniture"/>
    <n v="4290.1400000000003"/>
    <n v="487.59"/>
    <n v="5"/>
    <n v="0.11365363368095212"/>
    <x v="7"/>
  </r>
  <r>
    <s v="ORD1185"/>
    <s v="2025-06-05"/>
    <s v="East"/>
    <s v="Printer"/>
    <s v="Office"/>
    <n v="1454.08"/>
    <n v="358.74"/>
    <n v="6"/>
    <n v="0.24671269806338031"/>
    <x v="1"/>
  </r>
  <r>
    <s v="ORD1186"/>
    <s v="2025-07-07"/>
    <s v="West"/>
    <s v="Chair"/>
    <s v="Furniture"/>
    <n v="1084.01"/>
    <n v="325.29000000000002"/>
    <n v="9"/>
    <n v="0.30008025756219964"/>
    <x v="8"/>
  </r>
  <r>
    <s v="ORD1187"/>
    <s v="2025-05-04"/>
    <s v="East"/>
    <s v="Pen"/>
    <s v="Office"/>
    <n v="4523.87"/>
    <n v="946.13"/>
    <n v="7"/>
    <n v="0.20914173042107753"/>
    <x v="2"/>
  </r>
  <r>
    <s v="ORD1188"/>
    <s v="2025-11-04"/>
    <s v="North"/>
    <s v="Notebook"/>
    <s v="Office"/>
    <n v="1374.05"/>
    <n v="372.97"/>
    <n v="4"/>
    <n v="0.27143844838251885"/>
    <x v="5"/>
  </r>
  <r>
    <s v="ORD1189"/>
    <s v="2025-09-15"/>
    <s v="North"/>
    <s v="Printer"/>
    <s v="Office"/>
    <n v="4900.4799999999996"/>
    <n v="1681.89"/>
    <n v="8"/>
    <n v="0.34320923664620612"/>
    <x v="10"/>
  </r>
  <r>
    <s v="ORD1190"/>
    <s v="2025-07-02"/>
    <s v="West"/>
    <s v="Table"/>
    <s v="Furniture"/>
    <n v="2227.11"/>
    <n v="695.52"/>
    <n v="1"/>
    <n v="0.31229710252300064"/>
    <x v="8"/>
  </r>
  <r>
    <s v="ORD1191"/>
    <s v="2025-12-13"/>
    <s v="East"/>
    <s v="Chair"/>
    <s v="Furniture"/>
    <n v="1701.66"/>
    <n v="331.82"/>
    <n v="9"/>
    <n v="0.19499782565259804"/>
    <x v="3"/>
  </r>
  <r>
    <s v="ORD1192"/>
    <s v="2025-03-29"/>
    <s v="West"/>
    <s v="Pen"/>
    <s v="Office"/>
    <n v="1994.73"/>
    <n v="337.77"/>
    <n v="6"/>
    <n v="0.16933118767953556"/>
    <x v="0"/>
  </r>
  <r>
    <s v="ORD1193"/>
    <s v="2025-04-23"/>
    <s v="East"/>
    <s v="Laptop"/>
    <s v="Electronics"/>
    <n v="3451.3"/>
    <n v="411.9"/>
    <n v="9"/>
    <n v="0.11934633326572594"/>
    <x v="7"/>
  </r>
  <r>
    <s v="ORD1194"/>
    <s v="2025-10-03"/>
    <s v="West"/>
    <s v="Notebook"/>
    <s v="Office"/>
    <n v="3785.92"/>
    <n v="1006.62"/>
    <n v="1"/>
    <n v="0.26588517454145888"/>
    <x v="9"/>
  </r>
  <r>
    <s v="ORD1195"/>
    <s v="2025-10-01"/>
    <s v="South"/>
    <s v="Phone"/>
    <s v="Electronics"/>
    <n v="1885.71"/>
    <n v="527.62"/>
    <n v="9"/>
    <n v="0.27979912075557745"/>
    <x v="9"/>
  </r>
  <r>
    <s v="ORD1196"/>
    <s v="2025-03-15"/>
    <s v="South"/>
    <s v="Phone"/>
    <s v="Electronics"/>
    <n v="4210.7299999999996"/>
    <n v="683.74"/>
    <n v="8"/>
    <n v="0.16238039484839922"/>
    <x v="0"/>
  </r>
  <r>
    <s v="ORD1197"/>
    <s v="2025-05-29"/>
    <s v="West"/>
    <s v="Printer"/>
    <s v="Office"/>
    <n v="2628.04"/>
    <n v="206.29"/>
    <n v="7"/>
    <n v="7.8495761099526648E-2"/>
    <x v="2"/>
  </r>
  <r>
    <s v="ORD1198"/>
    <s v="2025-11-12"/>
    <s v="South"/>
    <s v="Phone"/>
    <s v="Electronics"/>
    <n v="4127.91"/>
    <n v="1338.09"/>
    <n v="1"/>
    <n v="0.32415677667391002"/>
    <x v="5"/>
  </r>
  <r>
    <s v="ORD1199"/>
    <s v="2025-09-14"/>
    <s v="West"/>
    <s v="Phone"/>
    <s v="Electronics"/>
    <n v="147.15"/>
    <n v="15.71"/>
    <n v="6"/>
    <n v="0.10676180767923887"/>
    <x v="10"/>
  </r>
  <r>
    <s v="ORD1200"/>
    <s v="2025-06-21"/>
    <s v="West"/>
    <s v="Notebook"/>
    <s v="Office"/>
    <n v="2719.99"/>
    <n v="569.53"/>
    <n v="10"/>
    <n v="0.20938679921617359"/>
    <x v="1"/>
  </r>
  <r>
    <s v="ORD1201"/>
    <s v="2025-09-12"/>
    <s v="South"/>
    <s v="Monitor"/>
    <s v="Electronics"/>
    <n v="533.91"/>
    <n v="85.82"/>
    <n v="3"/>
    <n v="0.16073870127924181"/>
    <x v="10"/>
  </r>
  <r>
    <s v="ORD1202"/>
    <s v="2025-07-08"/>
    <s v="West"/>
    <s v="Printer"/>
    <s v="Office"/>
    <n v="1969.39"/>
    <n v="601.1"/>
    <n v="5"/>
    <n v="0.30522141373724859"/>
    <x v="8"/>
  </r>
  <r>
    <s v="ORD1203"/>
    <s v="2025-12-23"/>
    <s v="West"/>
    <s v="Phone"/>
    <s v="Electronics"/>
    <n v="2969.66"/>
    <n v="955.71"/>
    <n v="2"/>
    <n v="0.32182472067509416"/>
    <x v="3"/>
  </r>
  <r>
    <s v="ORD1204"/>
    <s v="2025-08-04"/>
    <s v="East"/>
    <s v="Printer"/>
    <s v="Office"/>
    <n v="3105.06"/>
    <n v="897.58"/>
    <n v="10"/>
    <n v="0.28907009848440934"/>
    <x v="6"/>
  </r>
  <r>
    <s v="ORD1205"/>
    <s v="2025-03-10"/>
    <s v="South"/>
    <s v="Monitor"/>
    <s v="Electronics"/>
    <n v="1791.26"/>
    <n v="416.7"/>
    <n v="5"/>
    <n v="0.2326295456829271"/>
    <x v="0"/>
  </r>
  <r>
    <s v="ORD1206"/>
    <s v="2025-12-03"/>
    <s v="East"/>
    <s v="Pen"/>
    <s v="Office"/>
    <n v="3045.62"/>
    <n v="715.6"/>
    <n v="8"/>
    <n v="0.23496036931724906"/>
    <x v="3"/>
  </r>
  <r>
    <s v="ORD1207"/>
    <s v="2025-04-23"/>
    <s v="North"/>
    <s v="Printer"/>
    <s v="Office"/>
    <n v="4480.3999999999996"/>
    <n v="961.59"/>
    <n v="2"/>
    <n v="0.21462146236943133"/>
    <x v="7"/>
  </r>
  <r>
    <s v="ORD1208"/>
    <s v="2025-04-24"/>
    <s v="West"/>
    <s v="Pen"/>
    <s v="Office"/>
    <n v="2371.6"/>
    <n v="765.26"/>
    <n v="8"/>
    <n v="0.32267667397537531"/>
    <x v="7"/>
  </r>
  <r>
    <s v="ORD1209"/>
    <s v="2025-06-11"/>
    <s v="North"/>
    <s v="Chair"/>
    <s v="Furniture"/>
    <n v="3926.32"/>
    <n v="304.67"/>
    <n v="7"/>
    <n v="7.759683367631777E-2"/>
    <x v="1"/>
  </r>
  <r>
    <s v="ORD1210"/>
    <s v="2025-12-28"/>
    <s v="South"/>
    <s v="Printer"/>
    <s v="Office"/>
    <n v="4376.9799999999996"/>
    <n v="1344.49"/>
    <n v="10"/>
    <n v="0.30717298228458895"/>
    <x v="3"/>
  </r>
  <r>
    <s v="ORD1211"/>
    <s v="2025-07-14"/>
    <s v="South"/>
    <s v="Printer"/>
    <s v="Office"/>
    <n v="407.49"/>
    <n v="116.23"/>
    <n v="4"/>
    <n v="0.28523399347223244"/>
    <x v="8"/>
  </r>
  <r>
    <s v="ORD1212"/>
    <s v="2025-12-19"/>
    <s v="East"/>
    <s v="Printer"/>
    <s v="Office"/>
    <n v="1496.32"/>
    <n v="317.98"/>
    <n v="1"/>
    <n v="0.21250801967493588"/>
    <x v="3"/>
  </r>
  <r>
    <s v="ORD1213"/>
    <s v="2025-05-29"/>
    <s v="South"/>
    <s v="Pen"/>
    <s v="Office"/>
    <n v="1941.2"/>
    <n v="289.69"/>
    <n v="5"/>
    <n v="0.14923243354626003"/>
    <x v="2"/>
  </r>
  <r>
    <s v="ORD1214"/>
    <s v="2025-01-19"/>
    <s v="West"/>
    <s v="Monitor"/>
    <s v="Electronics"/>
    <n v="3335.34"/>
    <n v="1143.1400000000001"/>
    <n v="10"/>
    <n v="0.34273567312477887"/>
    <x v="11"/>
  </r>
  <r>
    <s v="ORD1215"/>
    <s v="2025-03-20"/>
    <s v="North"/>
    <s v="Table"/>
    <s v="Furniture"/>
    <n v="3038.84"/>
    <n v="216.57"/>
    <n v="7"/>
    <n v="7.1267325690065941E-2"/>
    <x v="0"/>
  </r>
  <r>
    <s v="ORD1216"/>
    <s v="2025-11-06"/>
    <s v="North"/>
    <s v="Notebook"/>
    <s v="Office"/>
    <n v="1394.93"/>
    <n v="223.75"/>
    <n v="8"/>
    <n v="0.16040231409461406"/>
    <x v="5"/>
  </r>
  <r>
    <s v="ORD1217"/>
    <s v="2025-12-09"/>
    <s v="North"/>
    <s v="Laptop"/>
    <s v="Electronics"/>
    <n v="985.5"/>
    <n v="259.22000000000003"/>
    <n v="3"/>
    <n v="0.26303399289700663"/>
    <x v="3"/>
  </r>
  <r>
    <s v="ORD1218"/>
    <s v="2025-11-17"/>
    <s v="South"/>
    <s v="Printer"/>
    <s v="Office"/>
    <n v="2087.85"/>
    <n v="416.72"/>
    <n v="3"/>
    <n v="0.19959288263045719"/>
    <x v="5"/>
  </r>
  <r>
    <s v="ORD1219"/>
    <s v="2025-06-16"/>
    <s v="South"/>
    <s v="Phone"/>
    <s v="Electronics"/>
    <n v="1016.92"/>
    <n v="127.07"/>
    <n v="1"/>
    <n v="0.12495574873146363"/>
    <x v="1"/>
  </r>
  <r>
    <s v="ORD1220"/>
    <s v="2025-10-03"/>
    <s v="North"/>
    <s v="Pen"/>
    <s v="Office"/>
    <n v="125.23"/>
    <n v="34.700000000000003"/>
    <n v="6"/>
    <n v="0.27709015411642579"/>
    <x v="9"/>
  </r>
  <r>
    <s v="ORD1221"/>
    <s v="2025-01-31"/>
    <s v="North"/>
    <s v="Pen"/>
    <s v="Office"/>
    <n v="3212.5"/>
    <n v="208.22"/>
    <n v="2"/>
    <n v="6.4815564202334627E-2"/>
    <x v="11"/>
  </r>
  <r>
    <s v="ORD1222"/>
    <s v="2025-02-11"/>
    <s v="East"/>
    <s v="Laptop"/>
    <s v="Electronics"/>
    <n v="3132.32"/>
    <n v="620.39"/>
    <n v="8"/>
    <n v="0.19806086223629768"/>
    <x v="4"/>
  </r>
  <r>
    <s v="ORD1223"/>
    <s v="2025-10-01"/>
    <s v="West"/>
    <s v="Monitor"/>
    <s v="Electronics"/>
    <n v="1253.0999999999999"/>
    <n v="73.42"/>
    <n v="6"/>
    <n v="5.8590695076211001E-2"/>
    <x v="9"/>
  </r>
  <r>
    <s v="ORD1224"/>
    <s v="2025-09-22"/>
    <s v="North"/>
    <s v="Chair"/>
    <s v="Furniture"/>
    <n v="3123.2"/>
    <n v="1022.91"/>
    <n v="5"/>
    <n v="0.32751985143442625"/>
    <x v="10"/>
  </r>
  <r>
    <s v="ORD1225"/>
    <s v="2025-08-15"/>
    <s v="South"/>
    <s v="Phone"/>
    <s v="Electronics"/>
    <n v="3552"/>
    <n v="1150.75"/>
    <n v="7"/>
    <n v="0.32397240990990989"/>
    <x v="6"/>
  </r>
  <r>
    <s v="ORD1226"/>
    <s v="2025-07-20"/>
    <s v="East"/>
    <s v="Phone"/>
    <s v="Electronics"/>
    <n v="1608.64"/>
    <n v="379.18"/>
    <n v="5"/>
    <n v="0.23571464093892977"/>
    <x v="8"/>
  </r>
  <r>
    <s v="ORD1227"/>
    <s v="2025-01-10"/>
    <s v="North"/>
    <s v="Chair"/>
    <s v="Furniture"/>
    <n v="1814.31"/>
    <n v="162.63"/>
    <n v="3"/>
    <n v="8.9637382806686844E-2"/>
    <x v="11"/>
  </r>
  <r>
    <s v="ORD1228"/>
    <s v="2025-03-19"/>
    <s v="South"/>
    <s v="Chair"/>
    <s v="Furniture"/>
    <n v="2243"/>
    <n v="710.57"/>
    <n v="3"/>
    <n v="0.31679447168970132"/>
    <x v="0"/>
  </r>
  <r>
    <s v="ORD1229"/>
    <s v="2025-07-25"/>
    <s v="West"/>
    <s v="Monitor"/>
    <s v="Electronics"/>
    <n v="1236.55"/>
    <n v="301.33999999999997"/>
    <n v="2"/>
    <n v="0.24369414904371031"/>
    <x v="8"/>
  </r>
  <r>
    <s v="ORD1230"/>
    <s v="2025-10-04"/>
    <s v="South"/>
    <s v="Phone"/>
    <s v="Electronics"/>
    <n v="4792.71"/>
    <n v="1464.27"/>
    <n v="8"/>
    <n v="0.30552025889319401"/>
    <x v="9"/>
  </r>
  <r>
    <s v="ORD1231"/>
    <s v="2025-02-04"/>
    <s v="West"/>
    <s v="Laptop"/>
    <s v="Electronics"/>
    <n v="1473.29"/>
    <n v="84.28"/>
    <n v="2"/>
    <n v="5.7205302418396921E-2"/>
    <x v="4"/>
  </r>
  <r>
    <s v="ORD1232"/>
    <s v="2025-01-09"/>
    <s v="West"/>
    <s v="Phone"/>
    <s v="Electronics"/>
    <n v="567.52"/>
    <n v="78.900000000000006"/>
    <n v="4"/>
    <n v="0.13902593741189739"/>
    <x v="11"/>
  </r>
  <r>
    <s v="ORD1233"/>
    <s v="2025-07-22"/>
    <s v="South"/>
    <s v="Monitor"/>
    <s v="Electronics"/>
    <n v="1061.1600000000001"/>
    <n v="86.99"/>
    <n v="10"/>
    <n v="8.1976327792227369E-2"/>
    <x v="8"/>
  </r>
  <r>
    <s v="ORD1234"/>
    <s v="2025-01-13"/>
    <s v="East"/>
    <s v="Printer"/>
    <s v="Office"/>
    <n v="4440.84"/>
    <n v="793.46"/>
    <n v="3"/>
    <n v="0.17867340413075003"/>
    <x v="11"/>
  </r>
  <r>
    <s v="ORD1235"/>
    <s v="2025-03-06"/>
    <s v="South"/>
    <s v="Chair"/>
    <s v="Furniture"/>
    <n v="895.3"/>
    <n v="77.27"/>
    <n v="7"/>
    <n v="8.6306266056070585E-2"/>
    <x v="0"/>
  </r>
  <r>
    <s v="ORD1236"/>
    <s v="2025-10-04"/>
    <s v="East"/>
    <s v="Table"/>
    <s v="Furniture"/>
    <n v="1740.06"/>
    <n v="238.62"/>
    <n v="4"/>
    <n v="0.13713320230336887"/>
    <x v="9"/>
  </r>
  <r>
    <s v="ORD1237"/>
    <s v="2025-10-14"/>
    <s v="North"/>
    <s v="Laptop"/>
    <s v="Electronics"/>
    <n v="2625.09"/>
    <n v="335.9"/>
    <n v="3"/>
    <n v="0.12795751764701399"/>
    <x v="9"/>
  </r>
  <r>
    <s v="ORD1238"/>
    <s v="2025-03-28"/>
    <s v="South"/>
    <s v="Notebook"/>
    <s v="Office"/>
    <n v="1910.4"/>
    <n v="193.42"/>
    <n v="3"/>
    <n v="0.10124581239530987"/>
    <x v="0"/>
  </r>
  <r>
    <s v="ORD1239"/>
    <s v="2025-01-08"/>
    <s v="North"/>
    <s v="Laptop"/>
    <s v="Electronics"/>
    <n v="4603.12"/>
    <n v="1603.05"/>
    <n v="6"/>
    <n v="0.34825292410365144"/>
    <x v="11"/>
  </r>
  <r>
    <s v="ORD1240"/>
    <s v="2025-10-25"/>
    <s v="South"/>
    <s v="Printer"/>
    <s v="Office"/>
    <n v="2081.6799999999998"/>
    <n v="290.23"/>
    <n v="2"/>
    <n v="0.13942104454094773"/>
    <x v="9"/>
  </r>
  <r>
    <s v="ORD1241"/>
    <s v="2025-03-26"/>
    <s v="South"/>
    <s v="Printer"/>
    <s v="Office"/>
    <n v="1221.6300000000001"/>
    <n v="245.41"/>
    <n v="1"/>
    <n v="0.20088733904701095"/>
    <x v="0"/>
  </r>
  <r>
    <s v="ORD1242"/>
    <s v="2025-01-21"/>
    <s v="West"/>
    <s v="Table"/>
    <s v="Furniture"/>
    <n v="3032.26"/>
    <n v="704.52"/>
    <n v="7"/>
    <n v="0.23234155382454008"/>
    <x v="11"/>
  </r>
  <r>
    <s v="ORD1243"/>
    <s v="2025-08-18"/>
    <s v="East"/>
    <s v="Chair"/>
    <s v="Furniture"/>
    <n v="3745.62"/>
    <n v="1011.08"/>
    <n v="10"/>
    <n v="0.26993661930468121"/>
    <x v="6"/>
  </r>
  <r>
    <s v="ORD1244"/>
    <s v="2025-12-28"/>
    <s v="North"/>
    <s v="Monitor"/>
    <s v="Electronics"/>
    <n v="4535.3900000000003"/>
    <n v="712.25"/>
    <n v="2"/>
    <n v="0.15704272399947963"/>
    <x v="3"/>
  </r>
  <r>
    <s v="ORD1245"/>
    <s v="2025-11-02"/>
    <s v="North"/>
    <s v="Monitor"/>
    <s v="Electronics"/>
    <n v="4509.17"/>
    <n v="1556.02"/>
    <n v="7"/>
    <n v="0.34507902784769701"/>
    <x v="5"/>
  </r>
  <r>
    <s v="ORD1246"/>
    <s v="2025-02-20"/>
    <s v="West"/>
    <s v="Printer"/>
    <s v="Office"/>
    <n v="598.59"/>
    <n v="138.19"/>
    <n v="2"/>
    <n v="0.23085918575318665"/>
    <x v="4"/>
  </r>
  <r>
    <s v="ORD1247"/>
    <s v="2025-12-11"/>
    <s v="South"/>
    <s v="Monitor"/>
    <s v="Electronics"/>
    <n v="2386.58"/>
    <n v="298.82"/>
    <n v="3"/>
    <n v="0.12520845729034855"/>
    <x v="3"/>
  </r>
  <r>
    <s v="ORD1248"/>
    <s v="2025-08-29"/>
    <s v="South"/>
    <s v="Printer"/>
    <s v="Office"/>
    <n v="4032.64"/>
    <n v="1356.29"/>
    <n v="3"/>
    <n v="0.33632806300587209"/>
    <x v="6"/>
  </r>
  <r>
    <s v="ORD1249"/>
    <s v="2025-09-24"/>
    <s v="West"/>
    <s v="Laptop"/>
    <s v="Electronics"/>
    <n v="1164.69"/>
    <n v="68.91"/>
    <n v="5"/>
    <n v="5.9165958323674106E-2"/>
    <x v="10"/>
  </r>
  <r>
    <s v="ORD1250"/>
    <s v="2025-06-10"/>
    <s v="West"/>
    <s v="Pen"/>
    <s v="Office"/>
    <n v="4923.0200000000004"/>
    <n v="1337.48"/>
    <n v="9"/>
    <n v="0.27167876628573517"/>
    <x v="1"/>
  </r>
  <r>
    <s v="ORD1251"/>
    <s v="2025-08-21"/>
    <s v="North"/>
    <s v="Printer"/>
    <s v="Office"/>
    <n v="518.87"/>
    <n v="126.6"/>
    <n v="2"/>
    <n v="0.24399175130572204"/>
    <x v="6"/>
  </r>
  <r>
    <s v="ORD1252"/>
    <s v="2025-09-13"/>
    <s v="North"/>
    <s v="Phone"/>
    <s v="Electronics"/>
    <n v="3621.55"/>
    <n v="507.21"/>
    <n v="7"/>
    <n v="0.14005329209868703"/>
    <x v="10"/>
  </r>
  <r>
    <s v="ORD1253"/>
    <s v="2025-03-18"/>
    <s v="East"/>
    <s v="Pen"/>
    <s v="Office"/>
    <n v="4502.37"/>
    <n v="1522.81"/>
    <n v="9"/>
    <n v="0.33822409086769856"/>
    <x v="0"/>
  </r>
  <r>
    <s v="ORD1254"/>
    <s v="2025-03-22"/>
    <s v="South"/>
    <s v="Monitor"/>
    <s v="Electronics"/>
    <n v="3063.89"/>
    <n v="171.88"/>
    <n v="1"/>
    <n v="5.6098619728515056E-2"/>
    <x v="0"/>
  </r>
  <r>
    <s v="ORD1255"/>
    <s v="2025-08-02"/>
    <s v="South"/>
    <s v="Phone"/>
    <s v="Electronics"/>
    <n v="4226.68"/>
    <n v="263.89999999999998"/>
    <n v="5"/>
    <n v="6.2436711556114959E-2"/>
    <x v="6"/>
  </r>
  <r>
    <s v="ORD1256"/>
    <s v="2025-10-10"/>
    <s v="South"/>
    <s v="Table"/>
    <s v="Furniture"/>
    <n v="3118.94"/>
    <n v="848.43"/>
    <n v="1"/>
    <n v="0.27202511109543626"/>
    <x v="9"/>
  </r>
  <r>
    <s v="ORD1257"/>
    <s v="2025-09-26"/>
    <s v="West"/>
    <s v="Phone"/>
    <s v="Electronics"/>
    <n v="4033.34"/>
    <n v="1370.99"/>
    <n v="8"/>
    <n v="0.3399143141912162"/>
    <x v="10"/>
  </r>
  <r>
    <s v="ORD1258"/>
    <s v="2025-11-13"/>
    <s v="South"/>
    <s v="Phone"/>
    <s v="Electronics"/>
    <n v="295.22000000000003"/>
    <n v="48.31"/>
    <n v="5"/>
    <n v="0.16364067475103311"/>
    <x v="5"/>
  </r>
  <r>
    <s v="ORD1259"/>
    <s v="2025-02-27"/>
    <s v="East"/>
    <s v="Chair"/>
    <s v="Furniture"/>
    <n v="1423.44"/>
    <n v="479.18"/>
    <n v="8"/>
    <n v="0.33663519361546673"/>
    <x v="4"/>
  </r>
  <r>
    <s v="ORD1260"/>
    <s v="2025-06-18"/>
    <s v="East"/>
    <s v="Pen"/>
    <s v="Office"/>
    <n v="2438.08"/>
    <n v="311.83"/>
    <n v="8"/>
    <n v="0.12789982281139256"/>
    <x v="1"/>
  </r>
  <r>
    <s v="ORD1261"/>
    <s v="2025-04-11"/>
    <s v="North"/>
    <s v="Laptop"/>
    <s v="Electronics"/>
    <n v="1464.81"/>
    <n v="277.77"/>
    <n v="5"/>
    <n v="0.18962868904499558"/>
    <x v="7"/>
  </r>
  <r>
    <s v="ORD1262"/>
    <s v="2025-09-22"/>
    <s v="South"/>
    <s v="Laptop"/>
    <s v="Electronics"/>
    <n v="2080.44"/>
    <n v="173.2"/>
    <n v="8"/>
    <n v="8.3251619849647185E-2"/>
    <x v="10"/>
  </r>
  <r>
    <s v="ORD1263"/>
    <s v="2025-08-18"/>
    <s v="East"/>
    <s v="Notebook"/>
    <s v="Office"/>
    <n v="1998.16"/>
    <n v="158.81"/>
    <n v="10"/>
    <n v="7.9478119870280653E-2"/>
    <x v="6"/>
  </r>
  <r>
    <s v="ORD1264"/>
    <s v="2025-09-01"/>
    <s v="West"/>
    <s v="Laptop"/>
    <s v="Electronics"/>
    <n v="3757.44"/>
    <n v="660.46"/>
    <n v="6"/>
    <n v="0.17577393118719128"/>
    <x v="10"/>
  </r>
  <r>
    <s v="ORD1265"/>
    <s v="2025-12-24"/>
    <s v="South"/>
    <s v="Phone"/>
    <s v="Electronics"/>
    <n v="1256.74"/>
    <n v="295.87"/>
    <n v="8"/>
    <n v="0.23542657988128013"/>
    <x v="3"/>
  </r>
  <r>
    <s v="ORD1266"/>
    <s v="2025-07-11"/>
    <s v="South"/>
    <s v="Printer"/>
    <s v="Office"/>
    <n v="1427.32"/>
    <n v="488.68"/>
    <n v="4"/>
    <n v="0.34237592130706501"/>
    <x v="8"/>
  </r>
  <r>
    <s v="ORD1267"/>
    <s v="2025-07-10"/>
    <s v="North"/>
    <s v="Pen"/>
    <s v="Office"/>
    <n v="3639.23"/>
    <n v="685.12"/>
    <n v="9"/>
    <n v="0.18825960436685782"/>
    <x v="8"/>
  </r>
  <r>
    <s v="ORD1268"/>
    <s v="2025-06-27"/>
    <s v="East"/>
    <s v="Printer"/>
    <s v="Office"/>
    <n v="3653.54"/>
    <n v="276.64999999999998"/>
    <n v="5"/>
    <n v="7.5721081471668575E-2"/>
    <x v="1"/>
  </r>
  <r>
    <s v="ORD1269"/>
    <s v="2025-06-29"/>
    <s v="West"/>
    <s v="Monitor"/>
    <s v="Electronics"/>
    <n v="907.32"/>
    <n v="214.25"/>
    <n v="7"/>
    <n v="0.23613499096239474"/>
    <x v="1"/>
  </r>
  <r>
    <s v="ORD1270"/>
    <s v="2025-08-24"/>
    <s v="South"/>
    <s v="Chair"/>
    <s v="Furniture"/>
    <n v="600.09"/>
    <n v="93.69"/>
    <n v="1"/>
    <n v="0.15612658101284807"/>
    <x v="6"/>
  </r>
  <r>
    <s v="ORD1271"/>
    <s v="2025-07-31"/>
    <s v="North"/>
    <s v="Laptop"/>
    <s v="Electronics"/>
    <n v="2120.4899999999998"/>
    <n v="518.4"/>
    <n v="9"/>
    <n v="0.24447179661304699"/>
    <x v="8"/>
  </r>
  <r>
    <s v="ORD1272"/>
    <s v="2025-03-17"/>
    <s v="South"/>
    <s v="Printer"/>
    <s v="Office"/>
    <n v="3002.41"/>
    <n v="868.3"/>
    <n v="2"/>
    <n v="0.28920100852315306"/>
    <x v="0"/>
  </r>
  <r>
    <s v="ORD1273"/>
    <s v="2025-10-26"/>
    <s v="North"/>
    <s v="Notebook"/>
    <s v="Office"/>
    <n v="2234.2199999999998"/>
    <n v="539.47"/>
    <n v="7"/>
    <n v="0.24145786896545554"/>
    <x v="9"/>
  </r>
  <r>
    <s v="ORD1274"/>
    <s v="2025-02-08"/>
    <s v="North"/>
    <s v="Laptop"/>
    <s v="Electronics"/>
    <n v="3723.54"/>
    <n v="946.14"/>
    <n v="6"/>
    <n v="0.25409690778130489"/>
    <x v="4"/>
  </r>
  <r>
    <s v="ORD1275"/>
    <s v="2025-12-27"/>
    <s v="North"/>
    <s v="Phone"/>
    <s v="Electronics"/>
    <n v="429.88"/>
    <n v="149.27000000000001"/>
    <n v="8"/>
    <n v="0.34723643807574212"/>
    <x v="3"/>
  </r>
  <r>
    <s v="ORD1276"/>
    <s v="2025-12-11"/>
    <s v="East"/>
    <s v="Printer"/>
    <s v="Office"/>
    <n v="1474.99"/>
    <n v="464.08"/>
    <n v="7"/>
    <n v="0.31463264157723103"/>
    <x v="3"/>
  </r>
  <r>
    <s v="ORD1277"/>
    <s v="2025-08-13"/>
    <s v="West"/>
    <s v="Monitor"/>
    <s v="Electronics"/>
    <n v="2766.88"/>
    <n v="756.89"/>
    <n v="7"/>
    <n v="0.27355360550511765"/>
    <x v="6"/>
  </r>
  <r>
    <s v="ORD1278"/>
    <s v="2025-07-25"/>
    <s v="South"/>
    <s v="Phone"/>
    <s v="Electronics"/>
    <n v="1377.38"/>
    <n v="103.54"/>
    <n v="6"/>
    <n v="7.5171702798065898E-2"/>
    <x v="8"/>
  </r>
  <r>
    <s v="ORD1279"/>
    <s v="2025-09-15"/>
    <s v="South"/>
    <s v="Table"/>
    <s v="Furniture"/>
    <n v="641.16"/>
    <n v="214.79"/>
    <n v="3"/>
    <n v="0.33500218354232952"/>
    <x v="10"/>
  </r>
  <r>
    <s v="ORD1280"/>
    <s v="2025-10-24"/>
    <s v="South"/>
    <s v="Printer"/>
    <s v="Office"/>
    <n v="1772.45"/>
    <n v="514.26"/>
    <n v="5"/>
    <n v="0.29014076560692825"/>
    <x v="9"/>
  </r>
  <r>
    <s v="ORD1281"/>
    <s v="2025-08-23"/>
    <s v="South"/>
    <s v="Table"/>
    <s v="Furniture"/>
    <n v="1885.62"/>
    <n v="416.79"/>
    <n v="10"/>
    <n v="0.22103605180259014"/>
    <x v="6"/>
  </r>
  <r>
    <s v="ORD1282"/>
    <s v="2025-10-15"/>
    <s v="North"/>
    <s v="Printer"/>
    <s v="Office"/>
    <n v="151.62"/>
    <n v="21.58"/>
    <n v="8"/>
    <n v="0.1423295079804775"/>
    <x v="9"/>
  </r>
  <r>
    <s v="ORD1283"/>
    <s v="2025-02-18"/>
    <s v="North"/>
    <s v="Notebook"/>
    <s v="Office"/>
    <n v="993.17"/>
    <n v="244.9"/>
    <n v="8"/>
    <n v="0.24658416988028234"/>
    <x v="4"/>
  </r>
  <r>
    <s v="ORD1284"/>
    <s v="2025-12-25"/>
    <s v="North"/>
    <s v="Pen"/>
    <s v="Office"/>
    <n v="4946.41"/>
    <n v="1250.83"/>
    <n v="1"/>
    <n v="0.25287632848874231"/>
    <x v="3"/>
  </r>
  <r>
    <s v="ORD1285"/>
    <s v="2025-11-24"/>
    <s v="North"/>
    <s v="Monitor"/>
    <s v="Electronics"/>
    <n v="2074.79"/>
    <n v="604.63"/>
    <n v="9"/>
    <n v="0.29141744465704961"/>
    <x v="5"/>
  </r>
  <r>
    <s v="ORD1286"/>
    <s v="2025-09-14"/>
    <s v="West"/>
    <s v="Chair"/>
    <s v="Furniture"/>
    <n v="349.79"/>
    <n v="20.28"/>
    <n v="5"/>
    <n v="5.79776437290946E-2"/>
    <x v="10"/>
  </r>
  <r>
    <s v="ORD1287"/>
    <s v="2025-08-22"/>
    <s v="East"/>
    <s v="Laptop"/>
    <s v="Electronics"/>
    <n v="565.48"/>
    <n v="39.14"/>
    <n v="9"/>
    <n v="6.9215533705878185E-2"/>
    <x v="6"/>
  </r>
  <r>
    <s v="ORD1288"/>
    <s v="2025-06-23"/>
    <s v="West"/>
    <s v="Phone"/>
    <s v="Electronics"/>
    <n v="3632.99"/>
    <n v="218.73"/>
    <n v="1"/>
    <n v="6.0206606679346762E-2"/>
    <x v="1"/>
  </r>
  <r>
    <s v="ORD1289"/>
    <s v="2025-03-27"/>
    <s v="North"/>
    <s v="Laptop"/>
    <s v="Electronics"/>
    <n v="981.65"/>
    <n v="72.400000000000006"/>
    <n v="5"/>
    <n v="7.3753374420618356E-2"/>
    <x v="0"/>
  </r>
  <r>
    <s v="ORD1290"/>
    <s v="2025-04-02"/>
    <s v="South"/>
    <s v="Pen"/>
    <s v="Office"/>
    <n v="1636.1"/>
    <n v="107.28"/>
    <n v="3"/>
    <n v="6.5570564146445826E-2"/>
    <x v="7"/>
  </r>
  <r>
    <s v="ORD1291"/>
    <s v="2025-01-22"/>
    <s v="West"/>
    <s v="Table"/>
    <s v="Furniture"/>
    <n v="1272.0899999999999"/>
    <n v="302.88"/>
    <n v="5"/>
    <n v="0.23809636110652549"/>
    <x v="11"/>
  </r>
  <r>
    <s v="ORD1292"/>
    <s v="2025-05-14"/>
    <s v="South"/>
    <s v="Notebook"/>
    <s v="Office"/>
    <n v="528.1"/>
    <n v="151.81"/>
    <n v="8"/>
    <n v="0.2874644953607271"/>
    <x v="2"/>
  </r>
  <r>
    <s v="ORD1293"/>
    <s v="2025-10-27"/>
    <s v="East"/>
    <s v="Monitor"/>
    <s v="Electronics"/>
    <n v="3541.77"/>
    <n v="568.67999999999995"/>
    <n v="4"/>
    <n v="0.16056378590365833"/>
    <x v="9"/>
  </r>
  <r>
    <s v="ORD1294"/>
    <s v="2025-02-27"/>
    <s v="East"/>
    <s v="Pen"/>
    <s v="Office"/>
    <n v="2687.1"/>
    <n v="866.27"/>
    <n v="3"/>
    <n v="0.32238100554501137"/>
    <x v="4"/>
  </r>
  <r>
    <s v="ORD1295"/>
    <s v="2025-08-23"/>
    <s v="South"/>
    <s v="Phone"/>
    <s v="Electronics"/>
    <n v="1792.92"/>
    <n v="96.61"/>
    <n v="4"/>
    <n v="5.388416661089173E-2"/>
    <x v="6"/>
  </r>
  <r>
    <s v="ORD1296"/>
    <s v="2025-04-21"/>
    <s v="South"/>
    <s v="Laptop"/>
    <s v="Electronics"/>
    <n v="2754.06"/>
    <n v="441.17"/>
    <n v="2"/>
    <n v="0.16018895739381134"/>
    <x v="7"/>
  </r>
  <r>
    <s v="ORD1297"/>
    <s v="2025-08-04"/>
    <s v="South"/>
    <s v="Printer"/>
    <s v="Office"/>
    <n v="3964.85"/>
    <n v="898.12"/>
    <n v="5"/>
    <n v="0.22652054932721288"/>
    <x v="6"/>
  </r>
  <r>
    <s v="ORD1298"/>
    <s v="2025-04-03"/>
    <s v="North"/>
    <s v="Pen"/>
    <s v="Office"/>
    <n v="1879.57"/>
    <n v="298.67"/>
    <n v="4"/>
    <n v="0.15890336619545961"/>
    <x v="7"/>
  </r>
  <r>
    <s v="ORD1299"/>
    <s v="2025-04-24"/>
    <s v="West"/>
    <s v="Phone"/>
    <s v="Electronics"/>
    <n v="1845.78"/>
    <n v="285.77"/>
    <n v="1"/>
    <n v="0.15482343507893681"/>
    <x v="7"/>
  </r>
  <r>
    <s v="ORD1300"/>
    <s v="2025-05-14"/>
    <s v="West"/>
    <s v="Phone"/>
    <s v="Electronics"/>
    <n v="4494.57"/>
    <n v="1497.15"/>
    <n v="8"/>
    <n v="0.33310194301123358"/>
    <x v="2"/>
  </r>
  <r>
    <s v="ORD1301"/>
    <s v="2025-09-17"/>
    <s v="North"/>
    <s v="Phone"/>
    <s v="Electronics"/>
    <n v="3674.19"/>
    <n v="1166.52"/>
    <n v="9"/>
    <n v="0.31749038563601772"/>
    <x v="10"/>
  </r>
  <r>
    <s v="ORD1302"/>
    <s v="2025-09-13"/>
    <s v="North"/>
    <s v="Pen"/>
    <s v="Office"/>
    <n v="3568.48"/>
    <n v="775.51"/>
    <n v="5"/>
    <n v="0.21732222122584405"/>
    <x v="10"/>
  </r>
  <r>
    <s v="ORD1303"/>
    <s v="2025-12-17"/>
    <s v="North"/>
    <s v="Monitor"/>
    <s v="Electronics"/>
    <n v="1905.35"/>
    <n v="550.85"/>
    <n v="4"/>
    <n v="0.28910698821738789"/>
    <x v="3"/>
  </r>
  <r>
    <s v="ORD1304"/>
    <s v="2025-10-14"/>
    <s v="South"/>
    <s v="Table"/>
    <s v="Furniture"/>
    <n v="403.34"/>
    <n v="37.75"/>
    <n v="3"/>
    <n v="9.3593494322407905E-2"/>
    <x v="9"/>
  </r>
  <r>
    <s v="ORD1305"/>
    <s v="2025-07-04"/>
    <s v="West"/>
    <s v="Pen"/>
    <s v="Office"/>
    <n v="270.63"/>
    <n v="31.63"/>
    <n v="9"/>
    <n v="0.11687543879096922"/>
    <x v="8"/>
  </r>
  <r>
    <s v="ORD1306"/>
    <s v="2025-04-22"/>
    <s v="West"/>
    <s v="Laptop"/>
    <s v="Electronics"/>
    <n v="498.46"/>
    <n v="36.76"/>
    <n v="9"/>
    <n v="7.3747141194880225E-2"/>
    <x v="7"/>
  </r>
  <r>
    <s v="ORD1307"/>
    <s v="2025-02-03"/>
    <s v="South"/>
    <s v="Table"/>
    <s v="Furniture"/>
    <n v="4524.46"/>
    <n v="945.4"/>
    <n v="9"/>
    <n v="0.20895311263664612"/>
    <x v="4"/>
  </r>
  <r>
    <s v="ORD1308"/>
    <s v="2025-08-28"/>
    <s v="West"/>
    <s v="Notebook"/>
    <s v="Office"/>
    <n v="723.28"/>
    <n v="216.59"/>
    <n v="9"/>
    <n v="0.29945525937396306"/>
    <x v="6"/>
  </r>
  <r>
    <s v="ORD1309"/>
    <s v="2025-07-07"/>
    <s v="South"/>
    <s v="Chair"/>
    <s v="Furniture"/>
    <n v="2612.59"/>
    <n v="458.67"/>
    <n v="8"/>
    <n v="0.17556141606604939"/>
    <x v="8"/>
  </r>
  <r>
    <s v="ORD1310"/>
    <s v="2025-07-22"/>
    <s v="South"/>
    <s v="Pen"/>
    <s v="Office"/>
    <n v="4215.13"/>
    <n v="254.63"/>
    <n v="7"/>
    <n v="6.0408575773463688E-2"/>
    <x v="8"/>
  </r>
  <r>
    <s v="ORD1311"/>
    <s v="2025-11-18"/>
    <s v="West"/>
    <s v="Table"/>
    <s v="Furniture"/>
    <n v="4580.26"/>
    <n v="1268.57"/>
    <n v="10"/>
    <n v="0.27696462646225323"/>
    <x v="5"/>
  </r>
  <r>
    <s v="ORD1312"/>
    <s v="2025-10-18"/>
    <s v="North"/>
    <s v="Notebook"/>
    <s v="Office"/>
    <n v="4861.67"/>
    <n v="1277.48"/>
    <n v="3"/>
    <n v="0.26276567516923199"/>
    <x v="9"/>
  </r>
  <r>
    <s v="ORD1313"/>
    <s v="2025-06-05"/>
    <s v="East"/>
    <s v="Chair"/>
    <s v="Furniture"/>
    <n v="278.87"/>
    <n v="64.88"/>
    <n v="3"/>
    <n v="0.23265320758776489"/>
    <x v="1"/>
  </r>
  <r>
    <s v="ORD1314"/>
    <s v="2025-07-28"/>
    <s v="East"/>
    <s v="Chair"/>
    <s v="Furniture"/>
    <n v="4781.08"/>
    <n v="936.22"/>
    <n v="10"/>
    <n v="0.19581768136069674"/>
    <x v="8"/>
  </r>
  <r>
    <s v="ORD1315"/>
    <s v="2025-07-05"/>
    <s v="East"/>
    <s v="Phone"/>
    <s v="Electronics"/>
    <n v="4579.8999999999996"/>
    <n v="470.34"/>
    <n v="10"/>
    <n v="0.10269656542719274"/>
    <x v="8"/>
  </r>
  <r>
    <s v="ORD1316"/>
    <s v="2025-10-02"/>
    <s v="East"/>
    <s v="Laptop"/>
    <s v="Electronics"/>
    <n v="999.46"/>
    <n v="343.09"/>
    <n v="9"/>
    <n v="0.34327536869909747"/>
    <x v="9"/>
  </r>
  <r>
    <s v="ORD1317"/>
    <s v="2025-09-19"/>
    <s v="East"/>
    <s v="Table"/>
    <s v="Furniture"/>
    <n v="4348.74"/>
    <n v="718.69"/>
    <n v="1"/>
    <n v="0.16526396151528952"/>
    <x v="10"/>
  </r>
  <r>
    <s v="ORD1318"/>
    <s v="2025-03-23"/>
    <s v="South"/>
    <s v="Pen"/>
    <s v="Office"/>
    <n v="1170.49"/>
    <n v="365.61"/>
    <n v="5"/>
    <n v="0.31235636357422958"/>
    <x v="0"/>
  </r>
  <r>
    <s v="ORD1319"/>
    <s v="2025-06-05"/>
    <s v="East"/>
    <s v="Chair"/>
    <s v="Furniture"/>
    <n v="3145.73"/>
    <n v="1040.5899999999999"/>
    <n v="8"/>
    <n v="0.33079444198961766"/>
    <x v="1"/>
  </r>
  <r>
    <s v="ORD1320"/>
    <s v="2025-10-08"/>
    <s v="South"/>
    <s v="Chair"/>
    <s v="Furniture"/>
    <n v="2753.45"/>
    <n v="283.25"/>
    <n v="2"/>
    <n v="0.10287094372514483"/>
    <x v="9"/>
  </r>
  <r>
    <s v="ORD1321"/>
    <s v="2025-05-09"/>
    <s v="South"/>
    <s v="Printer"/>
    <s v="Office"/>
    <n v="2515.34"/>
    <n v="453.6"/>
    <n v="10"/>
    <n v="0.18033347380473416"/>
    <x v="2"/>
  </r>
  <r>
    <s v="ORD1322"/>
    <s v="2025-01-20"/>
    <s v="East"/>
    <s v="Notebook"/>
    <s v="Office"/>
    <n v="2244.0500000000002"/>
    <n v="536.45000000000005"/>
    <n v="8"/>
    <n v="0.23905438827120609"/>
    <x v="11"/>
  </r>
  <r>
    <s v="ORD1323"/>
    <s v="2025-10-16"/>
    <s v="East"/>
    <s v="Monitor"/>
    <s v="Electronics"/>
    <n v="1065.56"/>
    <n v="229.42"/>
    <n v="8"/>
    <n v="0.21530462855212282"/>
    <x v="9"/>
  </r>
  <r>
    <s v="ORD1324"/>
    <s v="2025-04-24"/>
    <s v="South"/>
    <s v="Table"/>
    <s v="Furniture"/>
    <n v="3654.67"/>
    <n v="760.56"/>
    <n v="9"/>
    <n v="0.20810634065455977"/>
    <x v="7"/>
  </r>
  <r>
    <s v="ORD1325"/>
    <s v="2025-07-21"/>
    <s v="North"/>
    <s v="Table"/>
    <s v="Furniture"/>
    <n v="4030.61"/>
    <n v="594.78"/>
    <n v="5"/>
    <n v="0.14756575307459663"/>
    <x v="8"/>
  </r>
  <r>
    <s v="ORD1326"/>
    <s v="2025-11-29"/>
    <s v="North"/>
    <s v="Printer"/>
    <s v="Office"/>
    <n v="1582.09"/>
    <n v="116.49"/>
    <n v="7"/>
    <n v="7.3630450859306362E-2"/>
    <x v="5"/>
  </r>
  <r>
    <s v="ORD1327"/>
    <s v="2025-02-07"/>
    <s v="South"/>
    <s v="Monitor"/>
    <s v="Electronics"/>
    <n v="391.15"/>
    <n v="46.13"/>
    <n v="9"/>
    <n v="0.11793429630576506"/>
    <x v="4"/>
  </r>
  <r>
    <s v="ORD1328"/>
    <s v="2025-03-17"/>
    <s v="South"/>
    <s v="Printer"/>
    <s v="Office"/>
    <n v="2489.8000000000002"/>
    <n v="373.74"/>
    <n v="7"/>
    <n v="0.15010844244517632"/>
    <x v="0"/>
  </r>
  <r>
    <s v="ORD1329"/>
    <s v="2025-03-27"/>
    <s v="East"/>
    <s v="Table"/>
    <s v="Furniture"/>
    <n v="3793.47"/>
    <n v="875.95"/>
    <n v="2"/>
    <n v="0.23090995842856279"/>
    <x v="0"/>
  </r>
  <r>
    <s v="ORD1330"/>
    <s v="2025-12-22"/>
    <s v="West"/>
    <s v="Laptop"/>
    <s v="Electronics"/>
    <n v="3184.86"/>
    <n v="375.03"/>
    <n v="8"/>
    <n v="0.11775399860590417"/>
    <x v="3"/>
  </r>
  <r>
    <s v="ORD1331"/>
    <s v="2025-10-01"/>
    <s v="North"/>
    <s v="Monitor"/>
    <s v="Electronics"/>
    <n v="4565.88"/>
    <n v="554.79999999999995"/>
    <n v="3"/>
    <n v="0.12150998274155254"/>
    <x v="9"/>
  </r>
  <r>
    <s v="ORD1332"/>
    <s v="2025-11-26"/>
    <s v="North"/>
    <s v="Notebook"/>
    <s v="Office"/>
    <n v="4833.6099999999997"/>
    <n v="271.83"/>
    <n v="2"/>
    <n v="5.6237470544789503E-2"/>
    <x v="5"/>
  </r>
  <r>
    <s v="ORD1333"/>
    <s v="2025-02-21"/>
    <s v="North"/>
    <s v="Phone"/>
    <s v="Electronics"/>
    <n v="4243.47"/>
    <n v="1204.3499999999999"/>
    <n v="1"/>
    <n v="0.2838125402088385"/>
    <x v="4"/>
  </r>
  <r>
    <s v="ORD1334"/>
    <s v="2025-12-22"/>
    <s v="North"/>
    <s v="Pen"/>
    <s v="Office"/>
    <n v="3230.99"/>
    <n v="498.95"/>
    <n v="4"/>
    <n v="0.15442635229449797"/>
    <x v="3"/>
  </r>
  <r>
    <s v="ORD1335"/>
    <s v="2025-05-15"/>
    <s v="South"/>
    <s v="Phone"/>
    <s v="Electronics"/>
    <n v="3713.62"/>
    <n v="880.34"/>
    <n v="8"/>
    <n v="0.23705710331159355"/>
    <x v="2"/>
  </r>
  <r>
    <s v="ORD1336"/>
    <s v="2025-11-25"/>
    <s v="South"/>
    <s v="Table"/>
    <s v="Furniture"/>
    <n v="4545.2"/>
    <n v="1572.67"/>
    <n v="3"/>
    <n v="0.3460067763794773"/>
    <x v="5"/>
  </r>
  <r>
    <s v="ORD1337"/>
    <s v="2025-05-17"/>
    <s v="West"/>
    <s v="Phone"/>
    <s v="Electronics"/>
    <n v="2422.39"/>
    <n v="300.92"/>
    <n v="3"/>
    <n v="0.12422442298721512"/>
    <x v="2"/>
  </r>
  <r>
    <s v="ORD1338"/>
    <s v="2025-10-26"/>
    <s v="West"/>
    <s v="Phone"/>
    <s v="Electronics"/>
    <n v="4156.3"/>
    <n v="804.32"/>
    <n v="10"/>
    <n v="0.19351827346437939"/>
    <x v="9"/>
  </r>
  <r>
    <s v="ORD1339"/>
    <s v="2025-06-11"/>
    <s v="West"/>
    <s v="Pen"/>
    <s v="Office"/>
    <n v="3697.74"/>
    <n v="878.7"/>
    <n v="9"/>
    <n v="0.23763163445780397"/>
    <x v="1"/>
  </r>
  <r>
    <s v="ORD1340"/>
    <s v="2025-03-27"/>
    <s v="West"/>
    <s v="Monitor"/>
    <s v="Electronics"/>
    <n v="4575.1099999999997"/>
    <n v="493.08"/>
    <n v="8"/>
    <n v="0.107774457881887"/>
    <x v="0"/>
  </r>
  <r>
    <s v="ORD1341"/>
    <s v="2025-06-12"/>
    <s v="West"/>
    <s v="Phone"/>
    <s v="Electronics"/>
    <n v="2835.09"/>
    <n v="985.07"/>
    <n v="1"/>
    <n v="0.34745634177398249"/>
    <x v="1"/>
  </r>
  <r>
    <s v="ORD1342"/>
    <s v="2025-02-27"/>
    <s v="West"/>
    <s v="Monitor"/>
    <s v="Electronics"/>
    <n v="1530.07"/>
    <n v="397.91"/>
    <n v="7"/>
    <n v="0.2600599972550276"/>
    <x v="4"/>
  </r>
  <r>
    <s v="ORD1343"/>
    <s v="2025-08-24"/>
    <s v="West"/>
    <s v="Pen"/>
    <s v="Office"/>
    <n v="4923.3900000000003"/>
    <n v="1352.14"/>
    <n v="3"/>
    <n v="0.27463597236863219"/>
    <x v="6"/>
  </r>
  <r>
    <s v="ORD1344"/>
    <s v="2025-03-12"/>
    <s v="West"/>
    <s v="Pen"/>
    <s v="Office"/>
    <n v="1075.6600000000001"/>
    <n v="270.17"/>
    <n v="7"/>
    <n v="0.25116672554524666"/>
    <x v="0"/>
  </r>
  <r>
    <s v="ORD1345"/>
    <s v="2025-12-15"/>
    <s v="East"/>
    <s v="Chair"/>
    <s v="Furniture"/>
    <n v="1465.88"/>
    <n v="326.23"/>
    <n v="9"/>
    <n v="0.22254891259857559"/>
    <x v="3"/>
  </r>
  <r>
    <s v="ORD1346"/>
    <s v="2025-04-01"/>
    <s v="East"/>
    <s v="Notebook"/>
    <s v="Office"/>
    <n v="3430.83"/>
    <n v="650.1"/>
    <n v="9"/>
    <n v="0.18948767499409766"/>
    <x v="7"/>
  </r>
  <r>
    <s v="ORD1347"/>
    <s v="2025-06-07"/>
    <s v="South"/>
    <s v="Phone"/>
    <s v="Electronics"/>
    <n v="1739.13"/>
    <n v="440.63"/>
    <n v="8"/>
    <n v="0.25336231334057829"/>
    <x v="1"/>
  </r>
  <r>
    <s v="ORD1348"/>
    <s v="2025-11-05"/>
    <s v="South"/>
    <s v="Monitor"/>
    <s v="Electronics"/>
    <n v="4542.43"/>
    <n v="314.42"/>
    <n v="8"/>
    <n v="6.9218457961927868E-2"/>
    <x v="5"/>
  </r>
  <r>
    <s v="ORD1349"/>
    <s v="2025-06-22"/>
    <s v="East"/>
    <s v="Phone"/>
    <s v="Electronics"/>
    <n v="4500.1000000000004"/>
    <n v="1104.95"/>
    <n v="7"/>
    <n v="0.24553898802248839"/>
    <x v="1"/>
  </r>
  <r>
    <s v="ORD1350"/>
    <s v="2025-10-01"/>
    <s v="North"/>
    <s v="Phone"/>
    <s v="Electronics"/>
    <n v="192.58"/>
    <n v="48.91"/>
    <n v="3"/>
    <n v="0.25397237511683451"/>
    <x v="9"/>
  </r>
  <r>
    <s v="ORD1351"/>
    <s v="2025-12-31"/>
    <s v="South"/>
    <s v="Chair"/>
    <s v="Furniture"/>
    <n v="4225.66"/>
    <n v="982.69"/>
    <n v="8"/>
    <n v="0.23255302130318106"/>
    <x v="3"/>
  </r>
  <r>
    <s v="ORD1352"/>
    <s v="2025-10-15"/>
    <s v="East"/>
    <s v="Printer"/>
    <s v="Office"/>
    <n v="1647.27"/>
    <n v="104.43"/>
    <n v="2"/>
    <n v="6.3395800324172732E-2"/>
    <x v="9"/>
  </r>
  <r>
    <s v="ORD1353"/>
    <s v="2025-02-25"/>
    <s v="South"/>
    <s v="Notebook"/>
    <s v="Office"/>
    <n v="4048.26"/>
    <n v="298.19"/>
    <n v="6"/>
    <n v="7.3658806499582535E-2"/>
    <x v="4"/>
  </r>
  <r>
    <s v="ORD1354"/>
    <s v="2025-09-06"/>
    <s v="South"/>
    <s v="Laptop"/>
    <s v="Electronics"/>
    <n v="555.32000000000005"/>
    <n v="42.61"/>
    <n v="7"/>
    <n v="7.6730533746308421E-2"/>
    <x v="10"/>
  </r>
  <r>
    <s v="ORD1355"/>
    <s v="2025-06-02"/>
    <s v="South"/>
    <s v="Monitor"/>
    <s v="Electronics"/>
    <n v="2965.89"/>
    <n v="885.18"/>
    <n v="4"/>
    <n v="0.29845341533232855"/>
    <x v="1"/>
  </r>
  <r>
    <s v="ORD1356"/>
    <s v="2025-03-14"/>
    <s v="North"/>
    <s v="Laptop"/>
    <s v="Electronics"/>
    <n v="1710.48"/>
    <n v="167.38"/>
    <n v="10"/>
    <n v="9.7855572704737853E-2"/>
    <x v="0"/>
  </r>
  <r>
    <s v="ORD1357"/>
    <s v="2025-06-11"/>
    <s v="South"/>
    <s v="Pen"/>
    <s v="Office"/>
    <n v="2491.89"/>
    <n v="770.94"/>
    <n v="5"/>
    <n v="0.30937962751164783"/>
    <x v="1"/>
  </r>
  <r>
    <s v="ORD1358"/>
    <s v="2025-01-05"/>
    <s v="South"/>
    <s v="Pen"/>
    <s v="Office"/>
    <n v="2391.11"/>
    <n v="722.82"/>
    <n v="5"/>
    <n v="0.30229475013696566"/>
    <x v="11"/>
  </r>
  <r>
    <s v="ORD1359"/>
    <s v="2025-07-29"/>
    <s v="East"/>
    <s v="Chair"/>
    <s v="Furniture"/>
    <n v="4769.3500000000004"/>
    <n v="1429.58"/>
    <n v="9"/>
    <n v="0.2997431515825007"/>
    <x v="8"/>
  </r>
  <r>
    <s v="ORD1360"/>
    <s v="2025-12-27"/>
    <s v="East"/>
    <s v="Notebook"/>
    <s v="Office"/>
    <n v="833.69"/>
    <n v="85.49"/>
    <n v="7"/>
    <n v="0.10254411112044044"/>
    <x v="3"/>
  </r>
  <r>
    <s v="ORD1361"/>
    <s v="2025-02-13"/>
    <s v="East"/>
    <s v="Phone"/>
    <s v="Electronics"/>
    <n v="4748.01"/>
    <n v="1471.65"/>
    <n v="2"/>
    <n v="0.30995090574788176"/>
    <x v="4"/>
  </r>
  <r>
    <s v="ORD1362"/>
    <s v="2025-12-28"/>
    <s v="South"/>
    <s v="Chair"/>
    <s v="Furniture"/>
    <n v="2013.68"/>
    <n v="453.75"/>
    <n v="2"/>
    <n v="0.22533371737316751"/>
    <x v="3"/>
  </r>
  <r>
    <s v="ORD1363"/>
    <s v="2025-04-26"/>
    <s v="South"/>
    <s v="Pen"/>
    <s v="Office"/>
    <n v="149.74"/>
    <n v="31.61"/>
    <n v="4"/>
    <n v="0.2110992386803793"/>
    <x v="7"/>
  </r>
  <r>
    <s v="ORD1364"/>
    <s v="2025-02-02"/>
    <s v="East"/>
    <s v="Monitor"/>
    <s v="Electronics"/>
    <n v="4976.57"/>
    <n v="1187.74"/>
    <n v="5"/>
    <n v="0.23866639070685233"/>
    <x v="4"/>
  </r>
  <r>
    <s v="ORD1365"/>
    <s v="2025-09-24"/>
    <s v="North"/>
    <s v="Chair"/>
    <s v="Furniture"/>
    <n v="3832.21"/>
    <n v="1303.19"/>
    <n v="3"/>
    <n v="0.34006226172365295"/>
    <x v="10"/>
  </r>
  <r>
    <s v="ORD1366"/>
    <s v="2025-12-20"/>
    <s v="North"/>
    <s v="Phone"/>
    <s v="Electronics"/>
    <n v="3326.13"/>
    <n v="930.62"/>
    <n v="1"/>
    <n v="0.27979062754612716"/>
    <x v="3"/>
  </r>
  <r>
    <s v="ORD1367"/>
    <s v="2025-06-14"/>
    <s v="East"/>
    <s v="Laptop"/>
    <s v="Electronics"/>
    <n v="2908.17"/>
    <n v="996.14"/>
    <n v="2"/>
    <n v="0.34253155764621734"/>
    <x v="1"/>
  </r>
  <r>
    <s v="ORD1368"/>
    <s v="2025-10-01"/>
    <s v="East"/>
    <s v="Chair"/>
    <s v="Furniture"/>
    <n v="2724.59"/>
    <n v="168.25"/>
    <n v="5"/>
    <n v="6.1752410454416991E-2"/>
    <x v="9"/>
  </r>
  <r>
    <s v="ORD1369"/>
    <s v="2025-06-06"/>
    <s v="West"/>
    <s v="Phone"/>
    <s v="Electronics"/>
    <n v="2499.46"/>
    <n v="247.77"/>
    <n v="3"/>
    <n v="9.9129411952981847E-2"/>
    <x v="1"/>
  </r>
  <r>
    <s v="ORD1370"/>
    <s v="2025-03-13"/>
    <s v="West"/>
    <s v="Printer"/>
    <s v="Office"/>
    <n v="2113.96"/>
    <n v="197.33"/>
    <n v="5"/>
    <n v="9.3346137107608473E-2"/>
    <x v="0"/>
  </r>
  <r>
    <s v="ORD1371"/>
    <s v="2025-07-30"/>
    <s v="West"/>
    <s v="Notebook"/>
    <s v="Office"/>
    <n v="417.45"/>
    <n v="57.07"/>
    <n v="2"/>
    <n v="0.13671098335129955"/>
    <x v="8"/>
  </r>
  <r>
    <s v="ORD1372"/>
    <s v="2025-01-10"/>
    <s v="North"/>
    <s v="Monitor"/>
    <s v="Electronics"/>
    <n v="724.96"/>
    <n v="148.25"/>
    <n v="10"/>
    <n v="0.2044940410505407"/>
    <x v="11"/>
  </r>
  <r>
    <s v="ORD1373"/>
    <s v="2025-08-01"/>
    <s v="East"/>
    <s v="Table"/>
    <s v="Furniture"/>
    <n v="4058.09"/>
    <n v="1172.8"/>
    <n v="1"/>
    <n v="0.28900295459193853"/>
    <x v="6"/>
  </r>
  <r>
    <s v="ORD1374"/>
    <s v="2025-08-20"/>
    <s v="North"/>
    <s v="Printer"/>
    <s v="Office"/>
    <n v="1763.16"/>
    <n v="122.33"/>
    <n v="3"/>
    <n v="6.9381111186732902E-2"/>
    <x v="6"/>
  </r>
  <r>
    <s v="ORD1375"/>
    <s v="2025-07-14"/>
    <s v="North"/>
    <s v="Pen"/>
    <s v="Office"/>
    <n v="3626.28"/>
    <n v="512.04"/>
    <n v="6"/>
    <n v="0.14120255468413909"/>
    <x v="8"/>
  </r>
  <r>
    <s v="ORD1376"/>
    <s v="2025-02-16"/>
    <s v="South"/>
    <s v="Table"/>
    <s v="Furniture"/>
    <n v="208.53"/>
    <n v="50.5"/>
    <n v="6"/>
    <n v="0.24217139020764397"/>
    <x v="4"/>
  </r>
  <r>
    <s v="ORD1377"/>
    <s v="2025-08-17"/>
    <s v="West"/>
    <s v="Chair"/>
    <s v="Furniture"/>
    <n v="948.84"/>
    <n v="97.93"/>
    <n v="4"/>
    <n v="0.10321023565616964"/>
    <x v="6"/>
  </r>
  <r>
    <s v="ORD1378"/>
    <s v="2025-02-27"/>
    <s v="West"/>
    <s v="Notebook"/>
    <s v="Office"/>
    <n v="1505.02"/>
    <n v="469.81"/>
    <n v="1"/>
    <n v="0.3121619646250548"/>
    <x v="4"/>
  </r>
  <r>
    <s v="ORD1379"/>
    <s v="2025-03-10"/>
    <s v="West"/>
    <s v="Notebook"/>
    <s v="Office"/>
    <n v="1815.89"/>
    <n v="578.59"/>
    <n v="4"/>
    <n v="0.31862612823463976"/>
    <x v="0"/>
  </r>
  <r>
    <s v="ORD1380"/>
    <s v="2025-02-21"/>
    <s v="East"/>
    <s v="Laptop"/>
    <s v="Electronics"/>
    <n v="2389.3000000000002"/>
    <n v="702.53"/>
    <n v="3"/>
    <n v="0.29403172477294603"/>
    <x v="4"/>
  </r>
  <r>
    <s v="ORD1381"/>
    <s v="2025-11-09"/>
    <s v="East"/>
    <s v="Chair"/>
    <s v="Furniture"/>
    <n v="210.32"/>
    <n v="54.7"/>
    <n v="6"/>
    <n v="0.2600798782807151"/>
    <x v="5"/>
  </r>
  <r>
    <s v="ORD1382"/>
    <s v="2025-05-08"/>
    <s v="East"/>
    <s v="Table"/>
    <s v="Furniture"/>
    <n v="4224.4799999999996"/>
    <n v="1334.07"/>
    <n v="9"/>
    <n v="0.31579508010453361"/>
    <x v="2"/>
  </r>
  <r>
    <s v="ORD1383"/>
    <s v="2025-09-23"/>
    <s v="West"/>
    <s v="Chair"/>
    <s v="Furniture"/>
    <n v="2699.64"/>
    <n v="306.22000000000003"/>
    <n v="9"/>
    <n v="0.11342993880665572"/>
    <x v="10"/>
  </r>
  <r>
    <s v="ORD1384"/>
    <s v="2025-01-05"/>
    <s v="West"/>
    <s v="Table"/>
    <s v="Furniture"/>
    <n v="1901.77"/>
    <n v="489.07"/>
    <n v="6"/>
    <n v="0.25716569301229908"/>
    <x v="11"/>
  </r>
  <r>
    <s v="ORD1385"/>
    <s v="2025-08-12"/>
    <s v="East"/>
    <s v="Table"/>
    <s v="Furniture"/>
    <n v="2155.31"/>
    <n v="362.35"/>
    <n v="6"/>
    <n v="0.16811966724044339"/>
    <x v="6"/>
  </r>
  <r>
    <s v="ORD1386"/>
    <s v="2025-03-31"/>
    <s v="North"/>
    <s v="Printer"/>
    <s v="Office"/>
    <n v="609.05999999999995"/>
    <n v="164.57"/>
    <n v="8"/>
    <n v="0.27020326404623518"/>
    <x v="0"/>
  </r>
  <r>
    <s v="ORD1387"/>
    <s v="2025-10-17"/>
    <s v="West"/>
    <s v="Table"/>
    <s v="Furniture"/>
    <n v="719.06"/>
    <n v="84.16"/>
    <n v="2"/>
    <n v="0.11704169332183685"/>
    <x v="9"/>
  </r>
  <r>
    <s v="ORD1388"/>
    <s v="2025-03-02"/>
    <s v="North"/>
    <s v="Chair"/>
    <s v="Furniture"/>
    <n v="1741.71"/>
    <n v="166.25"/>
    <n v="10"/>
    <n v="9.5452170568005007E-2"/>
    <x v="0"/>
  </r>
  <r>
    <s v="ORD1389"/>
    <s v="2025-10-18"/>
    <s v="South"/>
    <s v="Pen"/>
    <s v="Office"/>
    <n v="1868.93"/>
    <n v="607.44000000000005"/>
    <n v="10"/>
    <n v="0.32502019872333371"/>
    <x v="9"/>
  </r>
  <r>
    <s v="ORD1390"/>
    <s v="2025-02-01"/>
    <s v="South"/>
    <s v="Chair"/>
    <s v="Furniture"/>
    <n v="3457.15"/>
    <n v="396.27"/>
    <n v="7"/>
    <n v="0.11462331689397336"/>
    <x v="4"/>
  </r>
  <r>
    <s v="ORD1391"/>
    <s v="2025-06-18"/>
    <s v="North"/>
    <s v="Monitor"/>
    <s v="Electronics"/>
    <n v="3163.71"/>
    <n v="223.58"/>
    <n v="4"/>
    <n v="7.0670194170767864E-2"/>
    <x v="1"/>
  </r>
  <r>
    <s v="ORD1392"/>
    <s v="2025-05-03"/>
    <s v="West"/>
    <s v="Phone"/>
    <s v="Electronics"/>
    <n v="1832.28"/>
    <n v="282.06"/>
    <n v="7"/>
    <n v="0.15393935424716745"/>
    <x v="2"/>
  </r>
  <r>
    <s v="ORD1393"/>
    <s v="2025-05-28"/>
    <s v="North"/>
    <s v="Printer"/>
    <s v="Office"/>
    <n v="4911.72"/>
    <n v="660.11"/>
    <n v="10"/>
    <n v="0.13439487592940966"/>
    <x v="2"/>
  </r>
  <r>
    <s v="ORD1394"/>
    <s v="2025-05-31"/>
    <s v="East"/>
    <s v="Laptop"/>
    <s v="Electronics"/>
    <n v="3004.65"/>
    <n v="574.9"/>
    <n v="4"/>
    <n v="0.1913367613532358"/>
    <x v="2"/>
  </r>
  <r>
    <s v="ORD1395"/>
    <s v="2025-04-07"/>
    <s v="North"/>
    <s v="Monitor"/>
    <s v="Electronics"/>
    <n v="2118.65"/>
    <n v="239.67"/>
    <n v="9"/>
    <n v="0.11312392325301487"/>
    <x v="7"/>
  </r>
  <r>
    <s v="ORD1396"/>
    <s v="2025-01-07"/>
    <s v="East"/>
    <s v="Chair"/>
    <s v="Furniture"/>
    <n v="4086.28"/>
    <n v="462.62"/>
    <n v="9"/>
    <n v="0.1132129956831152"/>
    <x v="11"/>
  </r>
  <r>
    <s v="ORD1397"/>
    <s v="2025-03-23"/>
    <s v="East"/>
    <s v="Monitor"/>
    <s v="Electronics"/>
    <n v="4040.56"/>
    <n v="385.48"/>
    <n v="10"/>
    <n v="9.5402617458966096E-2"/>
    <x v="0"/>
  </r>
  <r>
    <s v="ORD1398"/>
    <s v="2025-07-20"/>
    <s v="East"/>
    <s v="Phone"/>
    <s v="Electronics"/>
    <n v="2973.96"/>
    <n v="206.95"/>
    <n v="7"/>
    <n v="6.9587351544741688E-2"/>
    <x v="8"/>
  </r>
  <r>
    <s v="ORD1399"/>
    <s v="2025-11-28"/>
    <s v="West"/>
    <s v="Printer"/>
    <s v="Office"/>
    <n v="894.44"/>
    <n v="249.39"/>
    <n v="8"/>
    <n v="0.27882250346585569"/>
    <x v="5"/>
  </r>
  <r>
    <s v="ORD1400"/>
    <s v="2025-11-26"/>
    <s v="West"/>
    <s v="Pen"/>
    <s v="Office"/>
    <n v="4233.43"/>
    <n v="232.87"/>
    <n v="4"/>
    <n v="5.5007405342712645E-2"/>
    <x v="5"/>
  </r>
  <r>
    <s v="ORD1401"/>
    <s v="2025-04-03"/>
    <s v="West"/>
    <s v="Notebook"/>
    <s v="Office"/>
    <n v="2449.8200000000002"/>
    <n v="695.26"/>
    <n v="3"/>
    <n v="0.28380044248148839"/>
    <x v="7"/>
  </r>
  <r>
    <s v="ORD1402"/>
    <s v="2025-12-13"/>
    <s v="South"/>
    <s v="Laptop"/>
    <s v="Electronics"/>
    <n v="3189.48"/>
    <n v="547.21"/>
    <n v="3"/>
    <n v="0.17156715201224024"/>
    <x v="3"/>
  </r>
  <r>
    <s v="ORD1403"/>
    <s v="2025-12-31"/>
    <s v="East"/>
    <s v="Chair"/>
    <s v="Furniture"/>
    <n v="4414.49"/>
    <n v="364.83"/>
    <n v="8"/>
    <n v="8.2643748201944048E-2"/>
    <x v="3"/>
  </r>
  <r>
    <s v="ORD1404"/>
    <s v="2025-04-27"/>
    <s v="North"/>
    <s v="Monitor"/>
    <s v="Electronics"/>
    <n v="3785.37"/>
    <n v="727.08"/>
    <n v="8"/>
    <n v="0.19207633599885879"/>
    <x v="7"/>
  </r>
  <r>
    <s v="ORD1405"/>
    <s v="2025-01-27"/>
    <s v="West"/>
    <s v="Notebook"/>
    <s v="Office"/>
    <n v="2235.67"/>
    <n v="261.38"/>
    <n v="9"/>
    <n v="0.11691349796705237"/>
    <x v="11"/>
  </r>
  <r>
    <s v="ORD1406"/>
    <s v="2025-04-16"/>
    <s v="South"/>
    <s v="Printer"/>
    <s v="Office"/>
    <n v="4990.88"/>
    <n v="910.47"/>
    <n v="4"/>
    <n v="0.18242674638540698"/>
    <x v="7"/>
  </r>
  <r>
    <s v="ORD1407"/>
    <s v="2025-06-03"/>
    <s v="South"/>
    <s v="Pen"/>
    <s v="Office"/>
    <n v="4550.07"/>
    <n v="1344.88"/>
    <n v="2"/>
    <n v="0.29557347469379597"/>
    <x v="1"/>
  </r>
  <r>
    <s v="ORD1408"/>
    <s v="2025-02-12"/>
    <s v="East"/>
    <s v="Phone"/>
    <s v="Electronics"/>
    <n v="2224.04"/>
    <n v="165.86"/>
    <n v="1"/>
    <n v="7.457599683458932E-2"/>
    <x v="4"/>
  </r>
  <r>
    <s v="ORD1409"/>
    <s v="2025-03-13"/>
    <s v="South"/>
    <s v="Printer"/>
    <s v="Office"/>
    <n v="225.65"/>
    <n v="69.41"/>
    <n v="2"/>
    <n v="0.30760026589851536"/>
    <x v="0"/>
  </r>
  <r>
    <s v="ORD1410"/>
    <s v="2025-04-12"/>
    <s v="East"/>
    <s v="Printer"/>
    <s v="Office"/>
    <n v="3850.68"/>
    <n v="1323.14"/>
    <n v="2"/>
    <n v="0.34361203735444135"/>
    <x v="7"/>
  </r>
  <r>
    <s v="ORD1411"/>
    <s v="2025-01-31"/>
    <s v="South"/>
    <s v="Pen"/>
    <s v="Office"/>
    <n v="651.73"/>
    <n v="186.44"/>
    <n v="7"/>
    <n v="0.28606938456109121"/>
    <x v="11"/>
  </r>
  <r>
    <s v="ORD1412"/>
    <s v="2025-07-20"/>
    <s v="West"/>
    <s v="Chair"/>
    <s v="Furniture"/>
    <n v="3422.26"/>
    <n v="184.62"/>
    <n v="7"/>
    <n v="5.3946807080701056E-2"/>
    <x v="8"/>
  </r>
  <r>
    <s v="ORD1413"/>
    <s v="2025-12-25"/>
    <s v="South"/>
    <s v="Printer"/>
    <s v="Office"/>
    <n v="1662.77"/>
    <n v="554.1"/>
    <n v="7"/>
    <n v="0.33323911304630227"/>
    <x v="3"/>
  </r>
  <r>
    <s v="ORD1414"/>
    <s v="2025-08-18"/>
    <s v="East"/>
    <s v="Phone"/>
    <s v="Electronics"/>
    <n v="4992.49"/>
    <n v="364.62"/>
    <n v="10"/>
    <n v="7.3033696612311697E-2"/>
    <x v="6"/>
  </r>
  <r>
    <s v="ORD1415"/>
    <s v="2025-04-05"/>
    <s v="East"/>
    <s v="Pen"/>
    <s v="Office"/>
    <n v="387.82"/>
    <n v="125.41"/>
    <n v="5"/>
    <n v="0.32337166726832034"/>
    <x v="7"/>
  </r>
  <r>
    <s v="ORD1416"/>
    <s v="2025-05-17"/>
    <s v="North"/>
    <s v="Laptop"/>
    <s v="Electronics"/>
    <n v="2393.9299999999998"/>
    <n v="734.04"/>
    <n v="10"/>
    <n v="0.30662550701148322"/>
    <x v="2"/>
  </r>
  <r>
    <s v="ORD1417"/>
    <s v="2025-12-22"/>
    <s v="South"/>
    <s v="Chair"/>
    <s v="Furniture"/>
    <n v="2781.38"/>
    <n v="366.24"/>
    <n v="6"/>
    <n v="0.13167564302612372"/>
    <x v="3"/>
  </r>
  <r>
    <s v="ORD1418"/>
    <s v="2025-07-04"/>
    <s v="North"/>
    <s v="Pen"/>
    <s v="Office"/>
    <n v="3529.98"/>
    <n v="285.97000000000003"/>
    <n v="4"/>
    <n v="8.1011790435073297E-2"/>
    <x v="8"/>
  </r>
  <r>
    <s v="ORD1419"/>
    <s v="2025-09-14"/>
    <s v="East"/>
    <s v="Pen"/>
    <s v="Office"/>
    <n v="1108.73"/>
    <n v="124.12"/>
    <n v="2"/>
    <n v="0.11194790435904142"/>
    <x v="10"/>
  </r>
  <r>
    <s v="ORD1420"/>
    <s v="2025-02-27"/>
    <s v="South"/>
    <s v="Laptop"/>
    <s v="Electronics"/>
    <n v="2925.86"/>
    <n v="768.62"/>
    <n v="3"/>
    <n v="0.26269883042934383"/>
    <x v="4"/>
  </r>
  <r>
    <s v="ORD1421"/>
    <s v="2025-01-07"/>
    <s v="South"/>
    <s v="Phone"/>
    <s v="Electronics"/>
    <n v="2284.71"/>
    <n v="278.58999999999997"/>
    <n v="8"/>
    <n v="0.12193670093797461"/>
    <x v="11"/>
  </r>
  <r>
    <s v="ORD1422"/>
    <s v="2025-06-19"/>
    <s v="South"/>
    <s v="Chair"/>
    <s v="Furniture"/>
    <n v="2524.54"/>
    <n v="816.78"/>
    <n v="9"/>
    <n v="0.3235361689654353"/>
    <x v="1"/>
  </r>
  <r>
    <s v="ORD1423"/>
    <s v="2025-01-01"/>
    <s v="North"/>
    <s v="Pen"/>
    <s v="Office"/>
    <n v="3239.06"/>
    <n v="1035.26"/>
    <n v="4"/>
    <n v="0.31961741986872733"/>
    <x v="11"/>
  </r>
  <r>
    <s v="ORD1424"/>
    <s v="2025-05-17"/>
    <s v="West"/>
    <s v="Printer"/>
    <s v="Office"/>
    <n v="4740.2700000000004"/>
    <n v="479.84"/>
    <n v="4"/>
    <n v="0.10122630145540232"/>
    <x v="2"/>
  </r>
  <r>
    <s v="ORD1425"/>
    <s v="2025-07-16"/>
    <s v="West"/>
    <s v="Laptop"/>
    <s v="Electronics"/>
    <n v="2993.82"/>
    <n v="420.11"/>
    <n v="4"/>
    <n v="0.14032573768630044"/>
    <x v="8"/>
  </r>
  <r>
    <s v="ORD1426"/>
    <s v="2025-07-12"/>
    <s v="South"/>
    <s v="Pen"/>
    <s v="Office"/>
    <n v="1754.75"/>
    <n v="263.04000000000002"/>
    <n v="8"/>
    <n v="0.14990169539820489"/>
    <x v="8"/>
  </r>
  <r>
    <s v="ORD1427"/>
    <s v="2025-08-23"/>
    <s v="North"/>
    <s v="Notebook"/>
    <s v="Office"/>
    <n v="3498"/>
    <n v="737.59"/>
    <n v="1"/>
    <n v="0.21086049170954832"/>
    <x v="6"/>
  </r>
  <r>
    <s v="ORD1428"/>
    <s v="2025-06-01"/>
    <s v="South"/>
    <s v="Printer"/>
    <s v="Office"/>
    <n v="1906.33"/>
    <n v="546.48"/>
    <n v="9"/>
    <n v="0.28666600221367761"/>
    <x v="1"/>
  </r>
  <r>
    <s v="ORD1429"/>
    <s v="2025-11-20"/>
    <s v="South"/>
    <s v="Notebook"/>
    <s v="Office"/>
    <n v="1920.46"/>
    <n v="564.21"/>
    <n v="5"/>
    <n v="0.29378898805494519"/>
    <x v="5"/>
  </r>
  <r>
    <s v="ORD1430"/>
    <s v="2025-07-30"/>
    <s v="North"/>
    <s v="Laptop"/>
    <s v="Electronics"/>
    <n v="2795.68"/>
    <n v="201.03"/>
    <n v="1"/>
    <n v="7.1907371372975454E-2"/>
    <x v="8"/>
  </r>
  <r>
    <s v="ORD1431"/>
    <s v="2025-03-20"/>
    <s v="North"/>
    <s v="Phone"/>
    <s v="Electronics"/>
    <n v="758.44"/>
    <n v="191.6"/>
    <n v="3"/>
    <n v="0.25262380676124674"/>
    <x v="0"/>
  </r>
  <r>
    <s v="ORD1432"/>
    <s v="2025-06-13"/>
    <s v="South"/>
    <s v="Laptop"/>
    <s v="Electronics"/>
    <n v="2748.5"/>
    <n v="447.74"/>
    <n v="1"/>
    <n v="0.16290340185555757"/>
    <x v="1"/>
  </r>
  <r>
    <s v="ORD1433"/>
    <s v="2025-12-08"/>
    <s v="South"/>
    <s v="Table"/>
    <s v="Furniture"/>
    <n v="3483.75"/>
    <n v="195.52"/>
    <n v="5"/>
    <n v="5.6123430211697169E-2"/>
    <x v="3"/>
  </r>
  <r>
    <s v="ORD1434"/>
    <s v="2025-08-14"/>
    <s v="East"/>
    <s v="Notebook"/>
    <s v="Office"/>
    <n v="1927.1"/>
    <n v="506.23"/>
    <n v="1"/>
    <n v="0.26269005241035753"/>
    <x v="6"/>
  </r>
  <r>
    <s v="ORD1435"/>
    <s v="2025-09-18"/>
    <s v="South"/>
    <s v="Phone"/>
    <s v="Electronics"/>
    <n v="2469.7600000000002"/>
    <n v="410.43"/>
    <n v="3"/>
    <n v="0.16618213915522154"/>
    <x v="10"/>
  </r>
  <r>
    <s v="ORD1436"/>
    <s v="2025-12-30"/>
    <s v="East"/>
    <s v="Chair"/>
    <s v="Furniture"/>
    <n v="815.25"/>
    <n v="280.01"/>
    <n v="5"/>
    <n v="0.34346519472554432"/>
    <x v="3"/>
  </r>
  <r>
    <s v="ORD1437"/>
    <s v="2025-12-11"/>
    <s v="West"/>
    <s v="Chair"/>
    <s v="Furniture"/>
    <n v="829.64"/>
    <n v="63.46"/>
    <n v="6"/>
    <n v="7.6491008148112438E-2"/>
    <x v="3"/>
  </r>
  <r>
    <s v="ORD1438"/>
    <s v="2025-08-07"/>
    <s v="West"/>
    <s v="Pen"/>
    <s v="Office"/>
    <n v="2361"/>
    <n v="634.96"/>
    <n v="2"/>
    <n v="0.26893689114781871"/>
    <x v="6"/>
  </r>
  <r>
    <s v="ORD1439"/>
    <s v="2025-07-25"/>
    <s v="East"/>
    <s v="Table"/>
    <s v="Furniture"/>
    <n v="3696.16"/>
    <n v="849.98"/>
    <n v="1"/>
    <n v="0.22996298861521147"/>
    <x v="8"/>
  </r>
  <r>
    <s v="ORD1440"/>
    <s v="2025-06-26"/>
    <s v="East"/>
    <s v="Pen"/>
    <s v="Office"/>
    <n v="1093.44"/>
    <n v="358.19"/>
    <n v="4"/>
    <n v="0.32758084577114427"/>
    <x v="1"/>
  </r>
  <r>
    <s v="ORD1441"/>
    <s v="2025-02-16"/>
    <s v="West"/>
    <s v="Monitor"/>
    <s v="Electronics"/>
    <n v="1332.46"/>
    <n v="98.26"/>
    <n v="6"/>
    <n v="7.3743301862720087E-2"/>
    <x v="4"/>
  </r>
  <r>
    <s v="ORD1442"/>
    <s v="2025-07-13"/>
    <s v="East"/>
    <s v="Notebook"/>
    <s v="Office"/>
    <n v="615.73"/>
    <n v="141.36000000000001"/>
    <n v="9"/>
    <n v="0.22958114758092021"/>
    <x v="8"/>
  </r>
  <r>
    <s v="ORD1443"/>
    <s v="2025-06-26"/>
    <s v="South"/>
    <s v="Table"/>
    <s v="Furniture"/>
    <n v="1913.95"/>
    <n v="199.42"/>
    <n v="4"/>
    <n v="0.10419289950103189"/>
    <x v="1"/>
  </r>
  <r>
    <s v="ORD1444"/>
    <s v="2025-08-18"/>
    <s v="South"/>
    <s v="Monitor"/>
    <s v="Electronics"/>
    <n v="2312.21"/>
    <n v="208.95"/>
    <n v="10"/>
    <n v="9.0368089403644131E-2"/>
    <x v="6"/>
  </r>
  <r>
    <s v="ORD1445"/>
    <s v="2025-01-26"/>
    <s v="North"/>
    <s v="Phone"/>
    <s v="Electronics"/>
    <n v="4613.5600000000004"/>
    <n v="1505.08"/>
    <n v="2"/>
    <n v="0.32622963611614453"/>
    <x v="11"/>
  </r>
  <r>
    <s v="ORD1446"/>
    <s v="2025-10-19"/>
    <s v="South"/>
    <s v="Chair"/>
    <s v="Furniture"/>
    <n v="1972.67"/>
    <n v="330.66"/>
    <n v="10"/>
    <n v="0.16762053460538257"/>
    <x v="9"/>
  </r>
  <r>
    <s v="ORD1447"/>
    <s v="2025-12-19"/>
    <s v="North"/>
    <s v="Chair"/>
    <s v="Furniture"/>
    <n v="3976.78"/>
    <n v="1261.1300000000001"/>
    <n v="8"/>
    <n v="0.3171234013448066"/>
    <x v="3"/>
  </r>
  <r>
    <s v="ORD1448"/>
    <s v="2025-08-02"/>
    <s v="South"/>
    <s v="Laptop"/>
    <s v="Electronics"/>
    <n v="4821.12"/>
    <n v="1631.56"/>
    <n v="10"/>
    <n v="0.33841928846409131"/>
    <x v="6"/>
  </r>
  <r>
    <s v="ORD1449"/>
    <s v="2025-04-14"/>
    <s v="East"/>
    <s v="Laptop"/>
    <s v="Electronics"/>
    <n v="1422.7"/>
    <n v="194.92"/>
    <n v="1"/>
    <n v="0.13700709917762"/>
    <x v="7"/>
  </r>
  <r>
    <s v="ORD1450"/>
    <s v="2025-12-25"/>
    <s v="North"/>
    <s v="Notebook"/>
    <s v="Office"/>
    <n v="1111.3499999999999"/>
    <n v="67.86"/>
    <n v="6"/>
    <n v="6.1060871912538811E-2"/>
    <x v="3"/>
  </r>
  <r>
    <s v="ORD1451"/>
    <s v="2025-12-22"/>
    <s v="North"/>
    <s v="Notebook"/>
    <s v="Office"/>
    <n v="4987.95"/>
    <n v="443.56"/>
    <n v="4"/>
    <n v="8.8926312412915126E-2"/>
    <x v="3"/>
  </r>
  <r>
    <s v="ORD1452"/>
    <s v="2025-09-10"/>
    <s v="East"/>
    <s v="Monitor"/>
    <s v="Electronics"/>
    <n v="3852.21"/>
    <n v="1011.62"/>
    <n v="9"/>
    <n v="0.26260769791885696"/>
    <x v="10"/>
  </r>
  <r>
    <s v="ORD1453"/>
    <s v="2025-12-24"/>
    <s v="South"/>
    <s v="Printer"/>
    <s v="Office"/>
    <n v="951.8"/>
    <n v="221.68"/>
    <n v="1"/>
    <n v="0.23290607270434968"/>
    <x v="3"/>
  </r>
  <r>
    <s v="ORD1454"/>
    <s v="2025-06-04"/>
    <s v="West"/>
    <s v="Notebook"/>
    <s v="Office"/>
    <n v="4058.33"/>
    <n v="761.32"/>
    <n v="4"/>
    <n v="0.18759440459499352"/>
    <x v="1"/>
  </r>
  <r>
    <s v="ORD1455"/>
    <s v="2025-12-13"/>
    <s v="South"/>
    <s v="Table"/>
    <s v="Furniture"/>
    <n v="4398.2299999999996"/>
    <n v="1459.49"/>
    <n v="6"/>
    <n v="0.33183576120393887"/>
    <x v="3"/>
  </r>
  <r>
    <s v="ORD1456"/>
    <s v="2025-11-01"/>
    <s v="South"/>
    <s v="Phone"/>
    <s v="Electronics"/>
    <n v="2220"/>
    <n v="580.01"/>
    <n v="8"/>
    <n v="0.26126576576576577"/>
    <x v="5"/>
  </r>
  <r>
    <s v="ORD1457"/>
    <s v="2025-04-26"/>
    <s v="North"/>
    <s v="Phone"/>
    <s v="Electronics"/>
    <n v="4514.13"/>
    <n v="472.2"/>
    <n v="1"/>
    <n v="0.10460487402888263"/>
    <x v="7"/>
  </r>
  <r>
    <s v="ORD1458"/>
    <s v="2025-08-28"/>
    <s v="South"/>
    <s v="Laptop"/>
    <s v="Electronics"/>
    <n v="4257.37"/>
    <n v="621.79999999999995"/>
    <n v="5"/>
    <n v="0.14605260994463717"/>
    <x v="6"/>
  </r>
  <r>
    <s v="ORD1459"/>
    <s v="2025-07-03"/>
    <s v="South"/>
    <s v="Laptop"/>
    <s v="Electronics"/>
    <n v="3082.93"/>
    <n v="816.19"/>
    <n v="3"/>
    <n v="0.26474490176552828"/>
    <x v="8"/>
  </r>
  <r>
    <s v="ORD1460"/>
    <s v="2025-02-26"/>
    <s v="West"/>
    <s v="Chair"/>
    <s v="Furniture"/>
    <n v="1944.84"/>
    <n v="663.56"/>
    <n v="2"/>
    <n v="0.34119002077291705"/>
    <x v="4"/>
  </r>
  <r>
    <s v="ORD1461"/>
    <s v="2025-04-24"/>
    <s v="South"/>
    <s v="Chair"/>
    <s v="Furniture"/>
    <n v="1215.79"/>
    <n v="317.93"/>
    <n v="3"/>
    <n v="0.26150075259707684"/>
    <x v="7"/>
  </r>
  <r>
    <s v="ORD1462"/>
    <s v="2025-07-04"/>
    <s v="West"/>
    <s v="Monitor"/>
    <s v="Electronics"/>
    <n v="1026.5899999999999"/>
    <n v="297.49"/>
    <n v="9"/>
    <n v="0.28978462677407729"/>
    <x v="8"/>
  </r>
  <r>
    <s v="ORD1463"/>
    <s v="2025-04-06"/>
    <s v="West"/>
    <s v="Pen"/>
    <s v="Office"/>
    <n v="1315.12"/>
    <n v="240.77"/>
    <n v="2"/>
    <n v="0.18307835026461466"/>
    <x v="7"/>
  </r>
  <r>
    <s v="ORD1464"/>
    <s v="2025-01-28"/>
    <s v="South"/>
    <s v="Phone"/>
    <s v="Electronics"/>
    <n v="371.94"/>
    <n v="108.95"/>
    <n v="4"/>
    <n v="0.29292358982631606"/>
    <x v="11"/>
  </r>
  <r>
    <s v="ORD1465"/>
    <s v="2025-04-07"/>
    <s v="North"/>
    <s v="Laptop"/>
    <s v="Electronics"/>
    <n v="1377.2"/>
    <n v="458.11"/>
    <n v="6"/>
    <n v="0.33263868719140283"/>
    <x v="7"/>
  </r>
  <r>
    <s v="ORD1466"/>
    <s v="2025-09-25"/>
    <s v="East"/>
    <s v="Printer"/>
    <s v="Office"/>
    <n v="1687.5"/>
    <n v="183.97"/>
    <n v="10"/>
    <n v="0.10901925925925926"/>
    <x v="10"/>
  </r>
  <r>
    <s v="ORD1467"/>
    <s v="2025-03-24"/>
    <s v="East"/>
    <s v="Printer"/>
    <s v="Office"/>
    <n v="1174.8"/>
    <n v="269.93"/>
    <n v="7"/>
    <n v="0.22976676881171265"/>
    <x v="0"/>
  </r>
  <r>
    <s v="ORD1468"/>
    <s v="2025-09-08"/>
    <s v="South"/>
    <s v="Chair"/>
    <s v="Furniture"/>
    <n v="2466.34"/>
    <n v="445.52"/>
    <n v="3"/>
    <n v="0.18064013882919627"/>
    <x v="10"/>
  </r>
  <r>
    <s v="ORD1469"/>
    <s v="2025-08-12"/>
    <s v="West"/>
    <s v="Pen"/>
    <s v="Office"/>
    <n v="3666.1"/>
    <n v="312.18"/>
    <n v="1"/>
    <n v="8.5153160033823408E-2"/>
    <x v="6"/>
  </r>
  <r>
    <s v="ORD1470"/>
    <s v="2025-12-02"/>
    <s v="West"/>
    <s v="Pen"/>
    <s v="Office"/>
    <n v="4024.89"/>
    <n v="1043.04"/>
    <n v="7"/>
    <n v="0.25914745496150204"/>
    <x v="3"/>
  </r>
  <r>
    <s v="ORD1471"/>
    <s v="2025-04-30"/>
    <s v="North"/>
    <s v="Pen"/>
    <s v="Office"/>
    <n v="2006.2"/>
    <n v="194.22"/>
    <n v="2"/>
    <n v="9.6809889343036581E-2"/>
    <x v="7"/>
  </r>
  <r>
    <s v="ORD1472"/>
    <s v="2025-12-29"/>
    <s v="East"/>
    <s v="Monitor"/>
    <s v="Electronics"/>
    <n v="150.9"/>
    <n v="32.79"/>
    <n v="9"/>
    <n v="0.21729622266401588"/>
    <x v="3"/>
  </r>
  <r>
    <s v="ORD1473"/>
    <s v="2025-11-26"/>
    <s v="East"/>
    <s v="Chair"/>
    <s v="Furniture"/>
    <n v="3009.68"/>
    <n v="705.2"/>
    <n v="10"/>
    <n v="0.23431062438531675"/>
    <x v="5"/>
  </r>
  <r>
    <s v="ORD1474"/>
    <s v="2025-11-07"/>
    <s v="North"/>
    <s v="Printer"/>
    <s v="Office"/>
    <n v="4430.92"/>
    <n v="999.07"/>
    <n v="10"/>
    <n v="0.22547687613407599"/>
    <x v="5"/>
  </r>
  <r>
    <s v="ORD1475"/>
    <s v="2025-12-06"/>
    <s v="South"/>
    <s v="Monitor"/>
    <s v="Electronics"/>
    <n v="1136.77"/>
    <n v="145.41999999999999"/>
    <n v="6"/>
    <n v="0.12792385442965595"/>
    <x v="3"/>
  </r>
  <r>
    <s v="ORD1476"/>
    <s v="2025-10-06"/>
    <s v="South"/>
    <s v="Pen"/>
    <s v="Office"/>
    <n v="1367.71"/>
    <n v="436.13"/>
    <n v="4"/>
    <n v="0.31887607753105557"/>
    <x v="9"/>
  </r>
  <r>
    <s v="ORD1477"/>
    <s v="2025-07-07"/>
    <s v="West"/>
    <s v="Pen"/>
    <s v="Office"/>
    <n v="3371.14"/>
    <n v="274.3"/>
    <n v="9"/>
    <n v="8.1367133966551375E-2"/>
    <x v="8"/>
  </r>
  <r>
    <s v="ORD1478"/>
    <s v="2025-06-12"/>
    <s v="South"/>
    <s v="Pen"/>
    <s v="Office"/>
    <n v="3264.89"/>
    <n v="715.43"/>
    <n v="5"/>
    <n v="0.21912836267071784"/>
    <x v="1"/>
  </r>
  <r>
    <s v="ORD1479"/>
    <s v="2025-01-17"/>
    <s v="East"/>
    <s v="Phone"/>
    <s v="Electronics"/>
    <n v="3199.33"/>
    <n v="170.47"/>
    <n v="7"/>
    <n v="5.3283031134643818E-2"/>
    <x v="11"/>
  </r>
  <r>
    <s v="ORD1480"/>
    <s v="2025-10-21"/>
    <s v="East"/>
    <s v="Notebook"/>
    <s v="Office"/>
    <n v="3203.46"/>
    <n v="424.36"/>
    <n v="3"/>
    <n v="0.13246926760440275"/>
    <x v="9"/>
  </r>
  <r>
    <s v="ORD1481"/>
    <s v="2025-10-05"/>
    <s v="East"/>
    <s v="Phone"/>
    <s v="Electronics"/>
    <n v="1561.11"/>
    <n v="107.96"/>
    <n v="1"/>
    <n v="6.9155921107417154E-2"/>
    <x v="9"/>
  </r>
  <r>
    <s v="ORD1482"/>
    <s v="2025-05-29"/>
    <s v="East"/>
    <s v="Table"/>
    <s v="Furniture"/>
    <n v="3515.48"/>
    <n v="1168.42"/>
    <n v="5"/>
    <n v="0.3323642859581053"/>
    <x v="2"/>
  </r>
  <r>
    <s v="ORD1483"/>
    <s v="2025-10-10"/>
    <s v="East"/>
    <s v="Monitor"/>
    <s v="Electronics"/>
    <n v="2516.3000000000002"/>
    <n v="386"/>
    <n v="7"/>
    <n v="0.15339983308826449"/>
    <x v="9"/>
  </r>
  <r>
    <s v="ORD1484"/>
    <s v="2025-10-17"/>
    <s v="East"/>
    <s v="Phone"/>
    <s v="Electronics"/>
    <n v="3968.32"/>
    <n v="1159.73"/>
    <n v="7"/>
    <n v="0.29224709700830576"/>
    <x v="9"/>
  </r>
  <r>
    <s v="ORD1485"/>
    <s v="2025-08-25"/>
    <s v="East"/>
    <s v="Chair"/>
    <s v="Furniture"/>
    <n v="2610.13"/>
    <n v="559.37"/>
    <n v="10"/>
    <n v="0.21430733335121238"/>
    <x v="6"/>
  </r>
  <r>
    <s v="ORD1486"/>
    <s v="2025-08-02"/>
    <s v="North"/>
    <s v="Notebook"/>
    <s v="Office"/>
    <n v="4204.87"/>
    <n v="709.33"/>
    <n v="7"/>
    <n v="0.16869249227681238"/>
    <x v="6"/>
  </r>
  <r>
    <s v="ORD1487"/>
    <s v="2025-10-08"/>
    <s v="South"/>
    <s v="Chair"/>
    <s v="Furniture"/>
    <n v="1966.88"/>
    <n v="107.66"/>
    <n v="4"/>
    <n v="5.47364353697226E-2"/>
    <x v="9"/>
  </r>
  <r>
    <s v="ORD1488"/>
    <s v="2025-10-29"/>
    <s v="North"/>
    <s v="Phone"/>
    <s v="Electronics"/>
    <n v="2581.2399999999998"/>
    <n v="291.45"/>
    <n v="2"/>
    <n v="0.11291084904929415"/>
    <x v="9"/>
  </r>
  <r>
    <s v="ORD1489"/>
    <s v="2025-04-27"/>
    <s v="North"/>
    <s v="Laptop"/>
    <s v="Electronics"/>
    <n v="3232.81"/>
    <n v="1064.08"/>
    <n v="8"/>
    <n v="0.32915018203977342"/>
    <x v="7"/>
  </r>
  <r>
    <s v="ORD1490"/>
    <s v="2025-08-18"/>
    <s v="North"/>
    <s v="Printer"/>
    <s v="Office"/>
    <n v="2826.69"/>
    <n v="748.7"/>
    <n v="5"/>
    <n v="0.26486809660769312"/>
    <x v="6"/>
  </r>
  <r>
    <s v="ORD1491"/>
    <s v="2025-06-21"/>
    <s v="West"/>
    <s v="Chair"/>
    <s v="Furniture"/>
    <n v="4934.3999999999996"/>
    <n v="1107.1600000000001"/>
    <n v="5"/>
    <n v="0.2243758106355383"/>
    <x v="1"/>
  </r>
  <r>
    <s v="ORD1492"/>
    <s v="2025-06-12"/>
    <s v="West"/>
    <s v="Pen"/>
    <s v="Office"/>
    <n v="3758.41"/>
    <n v="552.6"/>
    <n v="3"/>
    <n v="0.14703026013660034"/>
    <x v="1"/>
  </r>
  <r>
    <s v="ORD1493"/>
    <s v="2025-01-01"/>
    <s v="East"/>
    <s v="Table"/>
    <s v="Furniture"/>
    <n v="3972.28"/>
    <n v="1075.1600000000001"/>
    <n v="1"/>
    <n v="0.27066571339381917"/>
    <x v="11"/>
  </r>
  <r>
    <s v="ORD1494"/>
    <s v="2025-08-28"/>
    <s v="North"/>
    <s v="Table"/>
    <s v="Furniture"/>
    <n v="3603.48"/>
    <n v="1142.6300000000001"/>
    <n v="7"/>
    <n v="0.3170907012110516"/>
    <x v="6"/>
  </r>
  <r>
    <s v="ORD1495"/>
    <s v="2025-03-07"/>
    <s v="South"/>
    <s v="Phone"/>
    <s v="Electronics"/>
    <n v="4408.45"/>
    <n v="717.42"/>
    <n v="6"/>
    <n v="0.16273747008585784"/>
    <x v="0"/>
  </r>
  <r>
    <s v="ORD1496"/>
    <s v="2025-01-06"/>
    <s v="West"/>
    <s v="Printer"/>
    <s v="Office"/>
    <n v="4817.87"/>
    <n v="300.60000000000002"/>
    <n v="1"/>
    <n v="6.2392717113579244E-2"/>
    <x v="11"/>
  </r>
  <r>
    <s v="ORD1497"/>
    <s v="2025-05-18"/>
    <s v="East"/>
    <s v="Chair"/>
    <s v="Furniture"/>
    <n v="3254.59"/>
    <n v="278.77"/>
    <n v="2"/>
    <n v="8.5654414227291295E-2"/>
    <x v="2"/>
  </r>
  <r>
    <s v="ORD1498"/>
    <s v="2025-03-11"/>
    <s v="South"/>
    <s v="Pen"/>
    <s v="Office"/>
    <n v="2215.12"/>
    <n v="772.41"/>
    <n v="6"/>
    <n v="0.3486989418180505"/>
    <x v="0"/>
  </r>
  <r>
    <s v="ORD1499"/>
    <s v="2025-08-08"/>
    <s v="East"/>
    <s v="Pen"/>
    <s v="Office"/>
    <n v="593.92999999999995"/>
    <n v="52.55"/>
    <n v="4"/>
    <n v="8.847844022022798E-2"/>
    <x v="6"/>
  </r>
  <r>
    <s v="ORD1500"/>
    <s v="2025-02-21"/>
    <s v="West"/>
    <s v="Laptop"/>
    <s v="Electronics"/>
    <n v="1850.85"/>
    <n v="134.16999999999999"/>
    <n v="9"/>
    <n v="7.2491017640543526E-2"/>
    <x v="4"/>
  </r>
  <r>
    <s v="ORD1501"/>
    <s v="2025-04-13"/>
    <s v="North"/>
    <s v="Phone"/>
    <s v="Electronics"/>
    <n v="487.39"/>
    <n v="91.42"/>
    <n v="10"/>
    <n v="0.1875705287346888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9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5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2" firstHeaderRow="1" firstDataRow="1" firstDataCol="1"/>
  <pivotFields count="9">
    <pivotField showAll="0"/>
    <pivotField showAll="0"/>
    <pivotField showAll="0"/>
    <pivotField axis="axisRow" showAll="0">
      <items count="9">
        <item x="6"/>
        <item x="1"/>
        <item x="7"/>
        <item x="0"/>
        <item x="2"/>
        <item x="4"/>
        <item x="3"/>
        <item x="5"/>
        <item t="default"/>
      </items>
    </pivotField>
    <pivotField showAll="0"/>
    <pivotField dataField="1" showAll="0"/>
    <pivotField showAll="0"/>
    <pivotField showAll="0"/>
    <pivotField numFmtId="2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axis="axisRow" showAll="0">
      <items count="13">
        <item x="7"/>
        <item x="6"/>
        <item x="3"/>
        <item x="4"/>
        <item x="11"/>
        <item x="8"/>
        <item x="1"/>
        <item x="0"/>
        <item x="2"/>
        <item x="5"/>
        <item x="9"/>
        <item x="1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1" spans="1:2" x14ac:dyDescent="0.3">
      <c r="A1" s="11" t="s">
        <v>807</v>
      </c>
      <c r="B1" s="11"/>
    </row>
    <row r="3" spans="1:2" x14ac:dyDescent="0.3">
      <c r="A3" s="7" t="s">
        <v>804</v>
      </c>
      <c r="B3" s="4" t="s">
        <v>806</v>
      </c>
    </row>
    <row r="4" spans="1:2" x14ac:dyDescent="0.3">
      <c r="A4" s="8" t="s">
        <v>24</v>
      </c>
      <c r="B4" s="9">
        <v>355867.72000000003</v>
      </c>
    </row>
    <row r="5" spans="1:2" x14ac:dyDescent="0.3">
      <c r="A5" s="8" t="s">
        <v>34</v>
      </c>
      <c r="B5" s="9">
        <v>292542.12</v>
      </c>
    </row>
    <row r="6" spans="1:2" x14ac:dyDescent="0.3">
      <c r="A6" s="8" t="s">
        <v>15</v>
      </c>
      <c r="B6" s="9">
        <v>319445.48000000016</v>
      </c>
    </row>
    <row r="7" spans="1:2" x14ac:dyDescent="0.3">
      <c r="A7" s="8" t="s">
        <v>10</v>
      </c>
      <c r="B7" s="9">
        <v>329238.24000000011</v>
      </c>
    </row>
    <row r="8" spans="1:2" x14ac:dyDescent="0.3">
      <c r="A8" s="8" t="s">
        <v>805</v>
      </c>
      <c r="B8" s="9">
        <v>1297093.5600000005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1" spans="1:2" x14ac:dyDescent="0.3">
      <c r="A1" s="10" t="s">
        <v>808</v>
      </c>
      <c r="B1" s="10"/>
    </row>
    <row r="3" spans="1:2" x14ac:dyDescent="0.3">
      <c r="A3" s="7" t="s">
        <v>804</v>
      </c>
      <c r="B3" s="4" t="s">
        <v>806</v>
      </c>
    </row>
    <row r="4" spans="1:2" x14ac:dyDescent="0.3">
      <c r="A4" s="8" t="s">
        <v>46</v>
      </c>
      <c r="B4" s="9">
        <v>175258.73</v>
      </c>
    </row>
    <row r="5" spans="1:2" x14ac:dyDescent="0.3">
      <c r="A5" s="8" t="s">
        <v>16</v>
      </c>
      <c r="B5" s="9">
        <v>159991.69999999998</v>
      </c>
    </row>
    <row r="6" spans="1:2" x14ac:dyDescent="0.3">
      <c r="A6" s="8" t="s">
        <v>95</v>
      </c>
      <c r="B6" s="9">
        <v>132767.87000000002</v>
      </c>
    </row>
    <row r="7" spans="1:2" x14ac:dyDescent="0.3">
      <c r="A7" s="8" t="s">
        <v>11</v>
      </c>
      <c r="B7" s="9">
        <v>135784.08000000002</v>
      </c>
    </row>
    <row r="8" spans="1:2" x14ac:dyDescent="0.3">
      <c r="A8" s="8" t="s">
        <v>20</v>
      </c>
      <c r="B8" s="9">
        <v>206830.11000000004</v>
      </c>
    </row>
    <row r="9" spans="1:2" x14ac:dyDescent="0.3">
      <c r="A9" s="8" t="s">
        <v>37</v>
      </c>
      <c r="B9" s="9">
        <v>185849.02000000002</v>
      </c>
    </row>
    <row r="10" spans="1:2" x14ac:dyDescent="0.3">
      <c r="A10" s="8" t="s">
        <v>27</v>
      </c>
      <c r="B10" s="9">
        <v>172812.97999999992</v>
      </c>
    </row>
    <row r="11" spans="1:2" x14ac:dyDescent="0.3">
      <c r="A11" s="8" t="s">
        <v>40</v>
      </c>
      <c r="B11" s="9">
        <v>127799.06999999998</v>
      </c>
    </row>
    <row r="12" spans="1:2" x14ac:dyDescent="0.3">
      <c r="A12" s="8" t="s">
        <v>805</v>
      </c>
      <c r="B12" s="9">
        <v>1297093.5600000003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1" spans="1:2" x14ac:dyDescent="0.3">
      <c r="A1" s="13" t="s">
        <v>822</v>
      </c>
      <c r="B1" s="13"/>
    </row>
    <row r="3" spans="1:2" x14ac:dyDescent="0.3">
      <c r="A3" s="7" t="s">
        <v>804</v>
      </c>
      <c r="B3" s="4" t="s">
        <v>806</v>
      </c>
    </row>
    <row r="4" spans="1:2" x14ac:dyDescent="0.3">
      <c r="A4" s="8" t="s">
        <v>810</v>
      </c>
      <c r="B4" s="9">
        <v>95298.219999999987</v>
      </c>
    </row>
    <row r="5" spans="1:2" x14ac:dyDescent="0.3">
      <c r="A5" s="8" t="s">
        <v>811</v>
      </c>
      <c r="B5" s="9">
        <v>135592.98000000001</v>
      </c>
    </row>
    <row r="6" spans="1:2" x14ac:dyDescent="0.3">
      <c r="A6" s="8" t="s">
        <v>812</v>
      </c>
      <c r="B6" s="9">
        <v>137910.90000000008</v>
      </c>
    </row>
    <row r="7" spans="1:2" x14ac:dyDescent="0.3">
      <c r="A7" s="8" t="s">
        <v>813</v>
      </c>
      <c r="B7" s="9">
        <v>96232.37999999999</v>
      </c>
    </row>
    <row r="8" spans="1:2" x14ac:dyDescent="0.3">
      <c r="A8" s="8" t="s">
        <v>814</v>
      </c>
      <c r="B8" s="9">
        <v>79612.429999999993</v>
      </c>
    </row>
    <row r="9" spans="1:2" x14ac:dyDescent="0.3">
      <c r="A9" s="8" t="s">
        <v>815</v>
      </c>
      <c r="B9" s="9">
        <v>117680.88999999998</v>
      </c>
    </row>
    <row r="10" spans="1:2" x14ac:dyDescent="0.3">
      <c r="A10" s="8" t="s">
        <v>816</v>
      </c>
      <c r="B10" s="9">
        <v>150826.54000000004</v>
      </c>
    </row>
    <row r="11" spans="1:2" x14ac:dyDescent="0.3">
      <c r="A11" s="8" t="s">
        <v>817</v>
      </c>
      <c r="B11" s="9">
        <v>103408.10000000002</v>
      </c>
    </row>
    <row r="12" spans="1:2" x14ac:dyDescent="0.3">
      <c r="A12" s="8" t="s">
        <v>818</v>
      </c>
      <c r="B12" s="9">
        <v>94583.389999999985</v>
      </c>
    </row>
    <row r="13" spans="1:2" x14ac:dyDescent="0.3">
      <c r="A13" s="8" t="s">
        <v>819</v>
      </c>
      <c r="B13" s="9">
        <v>90044.889999999985</v>
      </c>
    </row>
    <row r="14" spans="1:2" x14ac:dyDescent="0.3">
      <c r="A14" s="8" t="s">
        <v>820</v>
      </c>
      <c r="B14" s="9">
        <v>97355.360000000015</v>
      </c>
    </row>
    <row r="15" spans="1:2" x14ac:dyDescent="0.3">
      <c r="A15" s="8" t="s">
        <v>821</v>
      </c>
      <c r="B15" s="9">
        <v>98547.480000000025</v>
      </c>
    </row>
    <row r="16" spans="1:2" x14ac:dyDescent="0.3">
      <c r="A16" s="8" t="s">
        <v>805</v>
      </c>
      <c r="B16" s="9">
        <v>1297093.5600000003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F7" sqref="F7"/>
    </sheetView>
  </sheetViews>
  <sheetFormatPr defaultRowHeight="14.4" x14ac:dyDescent="0.3"/>
  <cols>
    <col min="1" max="1" width="24.21875" customWidth="1"/>
    <col min="2" max="2" width="22.109375" style="1" customWidth="1"/>
    <col min="3" max="3" width="18.21875" customWidth="1"/>
    <col min="4" max="4" width="16.6640625" customWidth="1"/>
    <col min="5" max="5" width="15.44140625" customWidth="1"/>
    <col min="6" max="6" width="17" customWidth="1"/>
    <col min="7" max="7" width="13.33203125" customWidth="1"/>
    <col min="8" max="8" width="10.33203125" customWidth="1"/>
    <col min="9" max="9" width="14.88671875" customWidth="1"/>
  </cols>
  <sheetData>
    <row r="1" spans="1:10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803</v>
      </c>
      <c r="J1" s="12" t="s">
        <v>809</v>
      </c>
    </row>
    <row r="2" spans="1:10" x14ac:dyDescent="0.3">
      <c r="A2" s="4" t="s">
        <v>8</v>
      </c>
      <c r="B2" s="5" t="s">
        <v>9</v>
      </c>
      <c r="C2" s="4" t="s">
        <v>10</v>
      </c>
      <c r="D2" s="4" t="s">
        <v>11</v>
      </c>
      <c r="E2" s="4" t="s">
        <v>12</v>
      </c>
      <c r="F2" s="4">
        <v>3758.11</v>
      </c>
      <c r="G2" s="4">
        <v>720.77</v>
      </c>
      <c r="H2" s="4">
        <v>1</v>
      </c>
      <c r="I2" s="6">
        <f>G2/F2</f>
        <v>0.19179055429457892</v>
      </c>
      <c r="J2" t="str">
        <f>TEXT(B2,"mmm-yyyy")</f>
        <v>Mar-2025</v>
      </c>
    </row>
    <row r="3" spans="1:10" x14ac:dyDescent="0.3">
      <c r="A3" s="4" t="s">
        <v>13</v>
      </c>
      <c r="B3" s="5" t="s">
        <v>14</v>
      </c>
      <c r="C3" s="4" t="s">
        <v>15</v>
      </c>
      <c r="D3" s="4" t="s">
        <v>16</v>
      </c>
      <c r="E3" s="4" t="s">
        <v>17</v>
      </c>
      <c r="F3" s="4">
        <v>1646.62</v>
      </c>
      <c r="G3" s="4">
        <v>360.72</v>
      </c>
      <c r="H3" s="4">
        <v>1</v>
      </c>
      <c r="I3" s="6">
        <f t="shared" ref="I3:I66" si="0">G3/F3</f>
        <v>0.21906693711967548</v>
      </c>
      <c r="J3" t="str">
        <f t="shared" ref="J3:J66" si="1">TEXT(B3,"mmm-yyyy")</f>
        <v>Jun-2025</v>
      </c>
    </row>
    <row r="4" spans="1:10" x14ac:dyDescent="0.3">
      <c r="A4" s="4" t="s">
        <v>18</v>
      </c>
      <c r="B4" s="5" t="s">
        <v>19</v>
      </c>
      <c r="C4" s="4" t="s">
        <v>10</v>
      </c>
      <c r="D4" s="4" t="s">
        <v>20</v>
      </c>
      <c r="E4" s="4" t="s">
        <v>12</v>
      </c>
      <c r="F4" s="4">
        <v>3284.99</v>
      </c>
      <c r="G4" s="4">
        <v>478.83</v>
      </c>
      <c r="H4" s="4">
        <v>6</v>
      </c>
      <c r="I4" s="6">
        <f t="shared" si="0"/>
        <v>0.14576300080061128</v>
      </c>
      <c r="J4" t="str">
        <f t="shared" si="1"/>
        <v>May-2025</v>
      </c>
    </row>
    <row r="5" spans="1:10" x14ac:dyDescent="0.3">
      <c r="A5" s="4" t="s">
        <v>21</v>
      </c>
      <c r="B5" s="5" t="s">
        <v>22</v>
      </c>
      <c r="C5" s="4" t="s">
        <v>15</v>
      </c>
      <c r="D5" s="4" t="s">
        <v>11</v>
      </c>
      <c r="E5" s="4" t="s">
        <v>12</v>
      </c>
      <c r="F5" s="4">
        <v>3340.12</v>
      </c>
      <c r="G5" s="4">
        <v>612.34</v>
      </c>
      <c r="H5" s="4">
        <v>5</v>
      </c>
      <c r="I5" s="6">
        <f t="shared" si="0"/>
        <v>0.18332874267990373</v>
      </c>
      <c r="J5" t="str">
        <f t="shared" si="1"/>
        <v>Dec-2025</v>
      </c>
    </row>
    <row r="6" spans="1:10" x14ac:dyDescent="0.3">
      <c r="A6" s="4" t="s">
        <v>23</v>
      </c>
      <c r="B6" s="5" t="s">
        <v>9</v>
      </c>
      <c r="C6" s="4" t="s">
        <v>24</v>
      </c>
      <c r="D6" s="4" t="s">
        <v>16</v>
      </c>
      <c r="E6" s="4" t="s">
        <v>17</v>
      </c>
      <c r="F6" s="4">
        <v>4688.07</v>
      </c>
      <c r="G6" s="4">
        <v>382.95</v>
      </c>
      <c r="H6" s="4">
        <v>8</v>
      </c>
      <c r="I6" s="6">
        <f t="shared" si="0"/>
        <v>8.1686066974255928E-2</v>
      </c>
      <c r="J6" t="str">
        <f t="shared" si="1"/>
        <v>Mar-2025</v>
      </c>
    </row>
    <row r="7" spans="1:10" x14ac:dyDescent="0.3">
      <c r="A7" s="4" t="s">
        <v>25</v>
      </c>
      <c r="B7" s="5" t="s">
        <v>26</v>
      </c>
      <c r="C7" s="4" t="s">
        <v>10</v>
      </c>
      <c r="D7" s="4" t="s">
        <v>27</v>
      </c>
      <c r="E7" s="4" t="s">
        <v>12</v>
      </c>
      <c r="F7" s="4">
        <v>916.6</v>
      </c>
      <c r="G7" s="4">
        <v>105.69</v>
      </c>
      <c r="H7" s="4">
        <v>4</v>
      </c>
      <c r="I7" s="6">
        <f t="shared" si="0"/>
        <v>0.11530656775038184</v>
      </c>
      <c r="J7" t="str">
        <f t="shared" si="1"/>
        <v>Feb-2025</v>
      </c>
    </row>
    <row r="8" spans="1:10" x14ac:dyDescent="0.3">
      <c r="A8" s="4" t="s">
        <v>28</v>
      </c>
      <c r="B8" s="5" t="s">
        <v>29</v>
      </c>
      <c r="C8" s="4" t="s">
        <v>10</v>
      </c>
      <c r="D8" s="4" t="s">
        <v>20</v>
      </c>
      <c r="E8" s="4" t="s">
        <v>12</v>
      </c>
      <c r="F8" s="4">
        <v>4860.28</v>
      </c>
      <c r="G8" s="4">
        <v>1467.2</v>
      </c>
      <c r="H8" s="4">
        <v>6</v>
      </c>
      <c r="I8" s="6">
        <f t="shared" si="0"/>
        <v>0.30187561210465241</v>
      </c>
      <c r="J8" t="str">
        <f t="shared" si="1"/>
        <v>Jun-2025</v>
      </c>
    </row>
    <row r="9" spans="1:10" x14ac:dyDescent="0.3">
      <c r="A9" s="4" t="s">
        <v>30</v>
      </c>
      <c r="B9" s="5" t="s">
        <v>31</v>
      </c>
      <c r="C9" s="4" t="s">
        <v>10</v>
      </c>
      <c r="D9" s="4" t="s">
        <v>16</v>
      </c>
      <c r="E9" s="4" t="s">
        <v>17</v>
      </c>
      <c r="F9" s="4">
        <v>1958.79</v>
      </c>
      <c r="G9" s="4">
        <v>470.66</v>
      </c>
      <c r="H9" s="4">
        <v>2</v>
      </c>
      <c r="I9" s="6">
        <f t="shared" si="0"/>
        <v>0.24028098979472023</v>
      </c>
      <c r="J9" t="str">
        <f t="shared" si="1"/>
        <v>Nov-2025</v>
      </c>
    </row>
    <row r="10" spans="1:10" x14ac:dyDescent="0.3">
      <c r="A10" s="4" t="s">
        <v>32</v>
      </c>
      <c r="B10" s="5" t="s">
        <v>33</v>
      </c>
      <c r="C10" s="4" t="s">
        <v>34</v>
      </c>
      <c r="D10" s="4" t="s">
        <v>11</v>
      </c>
      <c r="E10" s="4" t="s">
        <v>12</v>
      </c>
      <c r="F10" s="4">
        <v>3609.56</v>
      </c>
      <c r="G10" s="4">
        <v>583.14</v>
      </c>
      <c r="H10" s="4">
        <v>4</v>
      </c>
      <c r="I10" s="6">
        <f t="shared" si="0"/>
        <v>0.16155431686964616</v>
      </c>
      <c r="J10" t="str">
        <f t="shared" si="1"/>
        <v>Feb-2025</v>
      </c>
    </row>
    <row r="11" spans="1:10" x14ac:dyDescent="0.3">
      <c r="A11" s="4" t="s">
        <v>35</v>
      </c>
      <c r="B11" s="5" t="s">
        <v>36</v>
      </c>
      <c r="C11" s="4" t="s">
        <v>34</v>
      </c>
      <c r="D11" s="4" t="s">
        <v>37</v>
      </c>
      <c r="E11" s="4" t="s">
        <v>17</v>
      </c>
      <c r="F11" s="4">
        <v>865.22</v>
      </c>
      <c r="G11" s="4">
        <v>119.19</v>
      </c>
      <c r="H11" s="4">
        <v>2</v>
      </c>
      <c r="I11" s="6">
        <f t="shared" si="0"/>
        <v>0.1377568710848108</v>
      </c>
      <c r="J11" t="str">
        <f t="shared" si="1"/>
        <v>Mar-2025</v>
      </c>
    </row>
    <row r="12" spans="1:10" x14ac:dyDescent="0.3">
      <c r="A12" s="4" t="s">
        <v>38</v>
      </c>
      <c r="B12" s="5" t="s">
        <v>39</v>
      </c>
      <c r="C12" s="4" t="s">
        <v>34</v>
      </c>
      <c r="D12" s="4" t="s">
        <v>40</v>
      </c>
      <c r="E12" s="4" t="s">
        <v>41</v>
      </c>
      <c r="F12" s="4">
        <v>2110.5100000000002</v>
      </c>
      <c r="G12" s="4">
        <v>305.66000000000003</v>
      </c>
      <c r="H12" s="4">
        <v>2</v>
      </c>
      <c r="I12" s="6">
        <f t="shared" si="0"/>
        <v>0.14482755352971557</v>
      </c>
      <c r="J12" t="str">
        <f t="shared" si="1"/>
        <v>Feb-2025</v>
      </c>
    </row>
    <row r="13" spans="1:10" x14ac:dyDescent="0.3">
      <c r="A13" s="4" t="s">
        <v>42</v>
      </c>
      <c r="B13" s="5" t="s">
        <v>43</v>
      </c>
      <c r="C13" s="4" t="s">
        <v>34</v>
      </c>
      <c r="D13" s="4" t="s">
        <v>11</v>
      </c>
      <c r="E13" s="4" t="s">
        <v>12</v>
      </c>
      <c r="F13" s="4">
        <v>4204.1899999999996</v>
      </c>
      <c r="G13" s="4">
        <v>789.62</v>
      </c>
      <c r="H13" s="4">
        <v>2</v>
      </c>
      <c r="I13" s="6">
        <f t="shared" si="0"/>
        <v>0.18781739169733053</v>
      </c>
      <c r="J13" t="str">
        <f t="shared" si="1"/>
        <v>Feb-2025</v>
      </c>
    </row>
    <row r="14" spans="1:10" x14ac:dyDescent="0.3">
      <c r="A14" s="4" t="s">
        <v>44</v>
      </c>
      <c r="B14" s="5" t="s">
        <v>45</v>
      </c>
      <c r="C14" s="4" t="s">
        <v>24</v>
      </c>
      <c r="D14" s="4" t="s">
        <v>46</v>
      </c>
      <c r="E14" s="4" t="s">
        <v>41</v>
      </c>
      <c r="F14" s="4">
        <v>300.8</v>
      </c>
      <c r="G14" s="4">
        <v>78.09</v>
      </c>
      <c r="H14" s="4">
        <v>1</v>
      </c>
      <c r="I14" s="6">
        <f t="shared" si="0"/>
        <v>0.25960771276595745</v>
      </c>
      <c r="J14" t="str">
        <f t="shared" si="1"/>
        <v>Dec-2025</v>
      </c>
    </row>
    <row r="15" spans="1:10" x14ac:dyDescent="0.3">
      <c r="A15" s="4" t="s">
        <v>47</v>
      </c>
      <c r="B15" s="5" t="s">
        <v>48</v>
      </c>
      <c r="C15" s="4" t="s">
        <v>24</v>
      </c>
      <c r="D15" s="4" t="s">
        <v>11</v>
      </c>
      <c r="E15" s="4" t="s">
        <v>12</v>
      </c>
      <c r="F15" s="4">
        <v>2716.89</v>
      </c>
      <c r="G15" s="4">
        <v>148.99</v>
      </c>
      <c r="H15" s="4">
        <v>7</v>
      </c>
      <c r="I15" s="6">
        <f t="shared" si="0"/>
        <v>5.4838436594783012E-2</v>
      </c>
      <c r="J15" t="str">
        <f t="shared" si="1"/>
        <v>Feb-2025</v>
      </c>
    </row>
    <row r="16" spans="1:10" x14ac:dyDescent="0.3">
      <c r="A16" s="4" t="s">
        <v>49</v>
      </c>
      <c r="B16" s="5" t="s">
        <v>50</v>
      </c>
      <c r="C16" s="4" t="s">
        <v>10</v>
      </c>
      <c r="D16" s="4" t="s">
        <v>20</v>
      </c>
      <c r="E16" s="4" t="s">
        <v>12</v>
      </c>
      <c r="F16" s="4">
        <v>3764.43</v>
      </c>
      <c r="G16" s="4">
        <v>739.03</v>
      </c>
      <c r="H16" s="4">
        <v>5</v>
      </c>
      <c r="I16" s="6">
        <f t="shared" si="0"/>
        <v>0.19631923026859313</v>
      </c>
      <c r="J16" t="str">
        <f t="shared" si="1"/>
        <v>Aug-2025</v>
      </c>
    </row>
    <row r="17" spans="1:10" x14ac:dyDescent="0.3">
      <c r="A17" s="4" t="s">
        <v>51</v>
      </c>
      <c r="B17" s="5" t="s">
        <v>52</v>
      </c>
      <c r="C17" s="4" t="s">
        <v>24</v>
      </c>
      <c r="D17" s="4" t="s">
        <v>27</v>
      </c>
      <c r="E17" s="4" t="s">
        <v>12</v>
      </c>
      <c r="F17" s="4">
        <v>2684.26</v>
      </c>
      <c r="G17" s="4">
        <v>275.57</v>
      </c>
      <c r="H17" s="4">
        <v>2</v>
      </c>
      <c r="I17" s="6">
        <f t="shared" si="0"/>
        <v>0.10266144114206521</v>
      </c>
      <c r="J17" t="str">
        <f t="shared" si="1"/>
        <v>May-2025</v>
      </c>
    </row>
    <row r="18" spans="1:10" x14ac:dyDescent="0.3">
      <c r="A18" s="4" t="s">
        <v>53</v>
      </c>
      <c r="B18" s="5" t="s">
        <v>54</v>
      </c>
      <c r="C18" s="4" t="s">
        <v>34</v>
      </c>
      <c r="D18" s="4" t="s">
        <v>16</v>
      </c>
      <c r="E18" s="4" t="s">
        <v>17</v>
      </c>
      <c r="F18" s="4">
        <v>4820.97</v>
      </c>
      <c r="G18" s="4">
        <v>1339.62</v>
      </c>
      <c r="H18" s="4">
        <v>6</v>
      </c>
      <c r="I18" s="6">
        <f t="shared" si="0"/>
        <v>0.27787353997224623</v>
      </c>
      <c r="J18" t="str">
        <f t="shared" si="1"/>
        <v>Feb-2025</v>
      </c>
    </row>
    <row r="19" spans="1:10" x14ac:dyDescent="0.3">
      <c r="A19" s="4" t="s">
        <v>55</v>
      </c>
      <c r="B19" s="5" t="s">
        <v>56</v>
      </c>
      <c r="C19" s="4" t="s">
        <v>10</v>
      </c>
      <c r="D19" s="4" t="s">
        <v>16</v>
      </c>
      <c r="E19" s="4" t="s">
        <v>17</v>
      </c>
      <c r="F19" s="4">
        <v>4609.9399999999996</v>
      </c>
      <c r="G19" s="4">
        <v>977.12</v>
      </c>
      <c r="H19" s="4">
        <v>4</v>
      </c>
      <c r="I19" s="6">
        <f t="shared" si="0"/>
        <v>0.21195937474240448</v>
      </c>
      <c r="J19" t="str">
        <f t="shared" si="1"/>
        <v>Apr-2025</v>
      </c>
    </row>
    <row r="20" spans="1:10" x14ac:dyDescent="0.3">
      <c r="A20" s="4" t="s">
        <v>57</v>
      </c>
      <c r="B20" s="5" t="s">
        <v>58</v>
      </c>
      <c r="C20" s="4" t="s">
        <v>34</v>
      </c>
      <c r="D20" s="4" t="s">
        <v>27</v>
      </c>
      <c r="E20" s="4" t="s">
        <v>12</v>
      </c>
      <c r="F20" s="4">
        <v>465.6</v>
      </c>
      <c r="G20" s="4">
        <v>106.75</v>
      </c>
      <c r="H20" s="4">
        <v>2</v>
      </c>
      <c r="I20" s="6">
        <f t="shared" si="0"/>
        <v>0.22927405498281786</v>
      </c>
      <c r="J20" t="str">
        <f t="shared" si="1"/>
        <v>Aug-2025</v>
      </c>
    </row>
    <row r="21" spans="1:10" x14ac:dyDescent="0.3">
      <c r="A21" s="4" t="s">
        <v>59</v>
      </c>
      <c r="B21" s="5" t="s">
        <v>60</v>
      </c>
      <c r="C21" s="4" t="s">
        <v>10</v>
      </c>
      <c r="D21" s="4" t="s">
        <v>16</v>
      </c>
      <c r="E21" s="4" t="s">
        <v>17</v>
      </c>
      <c r="F21" s="4">
        <v>1300.69</v>
      </c>
      <c r="G21" s="4">
        <v>234.91</v>
      </c>
      <c r="H21" s="4">
        <v>10</v>
      </c>
      <c r="I21" s="6">
        <f t="shared" si="0"/>
        <v>0.18060414087907187</v>
      </c>
      <c r="J21" t="str">
        <f t="shared" si="1"/>
        <v>Nov-2025</v>
      </c>
    </row>
    <row r="22" spans="1:10" x14ac:dyDescent="0.3">
      <c r="A22" s="4" t="s">
        <v>61</v>
      </c>
      <c r="B22" s="5" t="s">
        <v>62</v>
      </c>
      <c r="C22" s="4" t="s">
        <v>34</v>
      </c>
      <c r="D22" s="4" t="s">
        <v>16</v>
      </c>
      <c r="E22" s="4" t="s">
        <v>17</v>
      </c>
      <c r="F22" s="4">
        <v>1958.64</v>
      </c>
      <c r="G22" s="4">
        <v>655.4</v>
      </c>
      <c r="H22" s="4">
        <v>4</v>
      </c>
      <c r="I22" s="6">
        <f t="shared" si="0"/>
        <v>0.33461994036678511</v>
      </c>
      <c r="J22" t="str">
        <f t="shared" si="1"/>
        <v>Aug-2025</v>
      </c>
    </row>
    <row r="23" spans="1:10" x14ac:dyDescent="0.3">
      <c r="A23" s="4" t="s">
        <v>63</v>
      </c>
      <c r="B23" s="5" t="s">
        <v>64</v>
      </c>
      <c r="C23" s="4" t="s">
        <v>24</v>
      </c>
      <c r="D23" s="4" t="s">
        <v>20</v>
      </c>
      <c r="E23" s="4" t="s">
        <v>12</v>
      </c>
      <c r="F23" s="4">
        <v>4837.72</v>
      </c>
      <c r="G23" s="4">
        <v>1125.8399999999999</v>
      </c>
      <c r="H23" s="4">
        <v>6</v>
      </c>
      <c r="I23" s="6">
        <f t="shared" si="0"/>
        <v>0.23272119924261839</v>
      </c>
      <c r="J23" t="str">
        <f t="shared" si="1"/>
        <v>Jul-2025</v>
      </c>
    </row>
    <row r="24" spans="1:10" x14ac:dyDescent="0.3">
      <c r="A24" s="4" t="s">
        <v>65</v>
      </c>
      <c r="B24" s="5" t="s">
        <v>66</v>
      </c>
      <c r="C24" s="4" t="s">
        <v>10</v>
      </c>
      <c r="D24" s="4" t="s">
        <v>27</v>
      </c>
      <c r="E24" s="4" t="s">
        <v>12</v>
      </c>
      <c r="F24" s="4">
        <v>3823.46</v>
      </c>
      <c r="G24" s="4">
        <v>1301.79</v>
      </c>
      <c r="H24" s="4">
        <v>10</v>
      </c>
      <c r="I24" s="6">
        <f t="shared" si="0"/>
        <v>0.34047433476484651</v>
      </c>
      <c r="J24" t="str">
        <f t="shared" si="1"/>
        <v>Aug-2025</v>
      </c>
    </row>
    <row r="25" spans="1:10" x14ac:dyDescent="0.3">
      <c r="A25" s="4" t="s">
        <v>67</v>
      </c>
      <c r="B25" s="5" t="s">
        <v>19</v>
      </c>
      <c r="C25" s="4" t="s">
        <v>10</v>
      </c>
      <c r="D25" s="4" t="s">
        <v>46</v>
      </c>
      <c r="E25" s="4" t="s">
        <v>41</v>
      </c>
      <c r="F25" s="4">
        <v>4956.76</v>
      </c>
      <c r="G25" s="4">
        <v>883.07</v>
      </c>
      <c r="H25" s="4">
        <v>4</v>
      </c>
      <c r="I25" s="6">
        <f t="shared" si="0"/>
        <v>0.17815468168723117</v>
      </c>
      <c r="J25" t="str">
        <f t="shared" si="1"/>
        <v>May-2025</v>
      </c>
    </row>
    <row r="26" spans="1:10" x14ac:dyDescent="0.3">
      <c r="A26" s="4" t="s">
        <v>68</v>
      </c>
      <c r="B26" s="5" t="s">
        <v>69</v>
      </c>
      <c r="C26" s="4" t="s">
        <v>24</v>
      </c>
      <c r="D26" s="4" t="s">
        <v>20</v>
      </c>
      <c r="E26" s="4" t="s">
        <v>12</v>
      </c>
      <c r="F26" s="4">
        <v>3743.24</v>
      </c>
      <c r="G26" s="4">
        <v>722.44</v>
      </c>
      <c r="H26" s="4">
        <v>2</v>
      </c>
      <c r="I26" s="6">
        <f t="shared" si="0"/>
        <v>0.19299857877133181</v>
      </c>
      <c r="J26" t="str">
        <f t="shared" si="1"/>
        <v>Dec-2025</v>
      </c>
    </row>
    <row r="27" spans="1:10" x14ac:dyDescent="0.3">
      <c r="A27" s="4" t="s">
        <v>70</v>
      </c>
      <c r="B27" s="5" t="s">
        <v>71</v>
      </c>
      <c r="C27" s="4" t="s">
        <v>15</v>
      </c>
      <c r="D27" s="4" t="s">
        <v>40</v>
      </c>
      <c r="E27" s="4" t="s">
        <v>41</v>
      </c>
      <c r="F27" s="4">
        <v>220.99</v>
      </c>
      <c r="G27" s="4">
        <v>62.9</v>
      </c>
      <c r="H27" s="4">
        <v>8</v>
      </c>
      <c r="I27" s="6">
        <f t="shared" si="0"/>
        <v>0.28462826372234035</v>
      </c>
      <c r="J27" t="str">
        <f t="shared" si="1"/>
        <v>Nov-2025</v>
      </c>
    </row>
    <row r="28" spans="1:10" x14ac:dyDescent="0.3">
      <c r="A28" s="4" t="s">
        <v>72</v>
      </c>
      <c r="B28" s="5" t="s">
        <v>73</v>
      </c>
      <c r="C28" s="4" t="s">
        <v>24</v>
      </c>
      <c r="D28" s="4" t="s">
        <v>46</v>
      </c>
      <c r="E28" s="4" t="s">
        <v>41</v>
      </c>
      <c r="F28" s="4">
        <v>4449.8900000000003</v>
      </c>
      <c r="G28" s="4">
        <v>1199.42</v>
      </c>
      <c r="H28" s="4">
        <v>5</v>
      </c>
      <c r="I28" s="6">
        <f t="shared" si="0"/>
        <v>0.26953924703756721</v>
      </c>
      <c r="J28" t="str">
        <f t="shared" si="1"/>
        <v>Dec-2025</v>
      </c>
    </row>
    <row r="29" spans="1:10" x14ac:dyDescent="0.3">
      <c r="A29" s="4" t="s">
        <v>74</v>
      </c>
      <c r="B29" s="5" t="s">
        <v>75</v>
      </c>
      <c r="C29" s="4" t="s">
        <v>24</v>
      </c>
      <c r="D29" s="4" t="s">
        <v>20</v>
      </c>
      <c r="E29" s="4" t="s">
        <v>12</v>
      </c>
      <c r="F29" s="4">
        <v>3724.54</v>
      </c>
      <c r="G29" s="4">
        <v>573.36</v>
      </c>
      <c r="H29" s="4">
        <v>1</v>
      </c>
      <c r="I29" s="6">
        <f t="shared" si="0"/>
        <v>0.15394115783425605</v>
      </c>
      <c r="J29" t="str">
        <f t="shared" si="1"/>
        <v>Jun-2025</v>
      </c>
    </row>
    <row r="30" spans="1:10" x14ac:dyDescent="0.3">
      <c r="A30" s="4" t="s">
        <v>76</v>
      </c>
      <c r="B30" s="5" t="s">
        <v>77</v>
      </c>
      <c r="C30" s="4" t="s">
        <v>10</v>
      </c>
      <c r="D30" s="4" t="s">
        <v>37</v>
      </c>
      <c r="E30" s="4" t="s">
        <v>17</v>
      </c>
      <c r="F30" s="4">
        <v>2220.1999999999998</v>
      </c>
      <c r="G30" s="4">
        <v>747.06</v>
      </c>
      <c r="H30" s="4">
        <v>6</v>
      </c>
      <c r="I30" s="6">
        <f t="shared" si="0"/>
        <v>0.33648319971173768</v>
      </c>
      <c r="J30" t="str">
        <f t="shared" si="1"/>
        <v>Aug-2025</v>
      </c>
    </row>
    <row r="31" spans="1:10" x14ac:dyDescent="0.3">
      <c r="A31" s="4" t="s">
        <v>78</v>
      </c>
      <c r="B31" s="5" t="s">
        <v>79</v>
      </c>
      <c r="C31" s="4" t="s">
        <v>15</v>
      </c>
      <c r="D31" s="4" t="s">
        <v>40</v>
      </c>
      <c r="E31" s="4" t="s">
        <v>41</v>
      </c>
      <c r="F31" s="4">
        <v>3126.36</v>
      </c>
      <c r="G31" s="4">
        <v>1065.3699999999999</v>
      </c>
      <c r="H31" s="4">
        <v>2</v>
      </c>
      <c r="I31" s="6">
        <f t="shared" si="0"/>
        <v>0.34077009685384918</v>
      </c>
      <c r="J31" t="str">
        <f t="shared" si="1"/>
        <v>Jul-2025</v>
      </c>
    </row>
    <row r="32" spans="1:10" x14ac:dyDescent="0.3">
      <c r="A32" s="4" t="s">
        <v>80</v>
      </c>
      <c r="B32" s="5" t="s">
        <v>81</v>
      </c>
      <c r="C32" s="4" t="s">
        <v>24</v>
      </c>
      <c r="D32" s="4" t="s">
        <v>20</v>
      </c>
      <c r="E32" s="4" t="s">
        <v>12</v>
      </c>
      <c r="F32" s="4">
        <v>2214.1999999999998</v>
      </c>
      <c r="G32" s="4">
        <v>617.69000000000005</v>
      </c>
      <c r="H32" s="4">
        <v>3</v>
      </c>
      <c r="I32" s="6">
        <f t="shared" si="0"/>
        <v>0.27896757293830732</v>
      </c>
      <c r="J32" t="str">
        <f t="shared" si="1"/>
        <v>Oct-2025</v>
      </c>
    </row>
    <row r="33" spans="1:10" x14ac:dyDescent="0.3">
      <c r="A33" s="4" t="s">
        <v>82</v>
      </c>
      <c r="B33" s="5" t="s">
        <v>83</v>
      </c>
      <c r="C33" s="4" t="s">
        <v>24</v>
      </c>
      <c r="D33" s="4" t="s">
        <v>11</v>
      </c>
      <c r="E33" s="4" t="s">
        <v>12</v>
      </c>
      <c r="F33" s="4">
        <v>3051.11</v>
      </c>
      <c r="G33" s="4">
        <v>189.85</v>
      </c>
      <c r="H33" s="4">
        <v>4</v>
      </c>
      <c r="I33" s="6">
        <f t="shared" si="0"/>
        <v>6.2223256454208467E-2</v>
      </c>
      <c r="J33" t="str">
        <f t="shared" si="1"/>
        <v>Apr-2025</v>
      </c>
    </row>
    <row r="34" spans="1:10" x14ac:dyDescent="0.3">
      <c r="A34" s="4" t="s">
        <v>84</v>
      </c>
      <c r="B34" s="5" t="s">
        <v>85</v>
      </c>
      <c r="C34" s="4" t="s">
        <v>34</v>
      </c>
      <c r="D34" s="4" t="s">
        <v>46</v>
      </c>
      <c r="E34" s="4" t="s">
        <v>41</v>
      </c>
      <c r="F34" s="4">
        <v>2903.15</v>
      </c>
      <c r="G34" s="4">
        <v>354.17</v>
      </c>
      <c r="H34" s="4">
        <v>10</v>
      </c>
      <c r="I34" s="6">
        <f t="shared" si="0"/>
        <v>0.12199507431582936</v>
      </c>
      <c r="J34" t="str">
        <f t="shared" si="1"/>
        <v>Nov-2025</v>
      </c>
    </row>
    <row r="35" spans="1:10" x14ac:dyDescent="0.3">
      <c r="A35" s="4" t="s">
        <v>86</v>
      </c>
      <c r="B35" s="5" t="s">
        <v>64</v>
      </c>
      <c r="C35" s="4" t="s">
        <v>10</v>
      </c>
      <c r="D35" s="4" t="s">
        <v>46</v>
      </c>
      <c r="E35" s="4" t="s">
        <v>41</v>
      </c>
      <c r="F35" s="4">
        <v>3461.53</v>
      </c>
      <c r="G35" s="4">
        <v>1069.6199999999999</v>
      </c>
      <c r="H35" s="4">
        <v>6</v>
      </c>
      <c r="I35" s="6">
        <f t="shared" si="0"/>
        <v>0.30900208867177226</v>
      </c>
      <c r="J35" t="str">
        <f t="shared" si="1"/>
        <v>Jul-2025</v>
      </c>
    </row>
    <row r="36" spans="1:10" x14ac:dyDescent="0.3">
      <c r="A36" s="4" t="s">
        <v>87</v>
      </c>
      <c r="B36" s="5" t="s">
        <v>88</v>
      </c>
      <c r="C36" s="4" t="s">
        <v>10</v>
      </c>
      <c r="D36" s="4" t="s">
        <v>27</v>
      </c>
      <c r="E36" s="4" t="s">
        <v>12</v>
      </c>
      <c r="F36" s="4">
        <v>4470.4399999999996</v>
      </c>
      <c r="G36" s="4">
        <v>1480.4</v>
      </c>
      <c r="H36" s="4">
        <v>10</v>
      </c>
      <c r="I36" s="6">
        <f t="shared" si="0"/>
        <v>0.3311530856023121</v>
      </c>
      <c r="J36" t="str">
        <f t="shared" si="1"/>
        <v>Feb-2025</v>
      </c>
    </row>
    <row r="37" spans="1:10" x14ac:dyDescent="0.3">
      <c r="A37" s="4" t="s">
        <v>89</v>
      </c>
      <c r="B37" s="5" t="s">
        <v>90</v>
      </c>
      <c r="C37" s="4" t="s">
        <v>15</v>
      </c>
      <c r="D37" s="4" t="s">
        <v>27</v>
      </c>
      <c r="E37" s="4" t="s">
        <v>12</v>
      </c>
      <c r="F37" s="4">
        <v>2618.63</v>
      </c>
      <c r="G37" s="4">
        <v>862.84</v>
      </c>
      <c r="H37" s="4">
        <v>5</v>
      </c>
      <c r="I37" s="6">
        <f t="shared" si="0"/>
        <v>0.32950054035888993</v>
      </c>
      <c r="J37" t="str">
        <f t="shared" si="1"/>
        <v>Aug-2025</v>
      </c>
    </row>
    <row r="38" spans="1:10" x14ac:dyDescent="0.3">
      <c r="A38" s="4" t="s">
        <v>91</v>
      </c>
      <c r="B38" s="5" t="s">
        <v>92</v>
      </c>
      <c r="C38" s="4" t="s">
        <v>24</v>
      </c>
      <c r="D38" s="4" t="s">
        <v>40</v>
      </c>
      <c r="E38" s="4" t="s">
        <v>41</v>
      </c>
      <c r="F38" s="4">
        <v>3405.83</v>
      </c>
      <c r="G38" s="4">
        <v>855.19</v>
      </c>
      <c r="H38" s="4">
        <v>4</v>
      </c>
      <c r="I38" s="6">
        <f t="shared" si="0"/>
        <v>0.25109591494584288</v>
      </c>
      <c r="J38" t="str">
        <f t="shared" si="1"/>
        <v>Sep-2025</v>
      </c>
    </row>
    <row r="39" spans="1:10" x14ac:dyDescent="0.3">
      <c r="A39" s="4" t="s">
        <v>93</v>
      </c>
      <c r="B39" s="5" t="s">
        <v>45</v>
      </c>
      <c r="C39" s="4" t="s">
        <v>15</v>
      </c>
      <c r="D39" s="4" t="s">
        <v>27</v>
      </c>
      <c r="E39" s="4" t="s">
        <v>12</v>
      </c>
      <c r="F39" s="4">
        <v>2853.1</v>
      </c>
      <c r="G39" s="4">
        <v>540.13</v>
      </c>
      <c r="H39" s="4">
        <v>2</v>
      </c>
      <c r="I39" s="6">
        <f t="shared" si="0"/>
        <v>0.18931337843047913</v>
      </c>
      <c r="J39" t="str">
        <f t="shared" si="1"/>
        <v>Dec-2025</v>
      </c>
    </row>
    <row r="40" spans="1:10" x14ac:dyDescent="0.3">
      <c r="A40" s="4" t="s">
        <v>94</v>
      </c>
      <c r="B40" s="5" t="s">
        <v>14</v>
      </c>
      <c r="C40" s="4" t="s">
        <v>10</v>
      </c>
      <c r="D40" s="4" t="s">
        <v>95</v>
      </c>
      <c r="E40" s="4" t="s">
        <v>17</v>
      </c>
      <c r="F40" s="4">
        <v>4727.93</v>
      </c>
      <c r="G40" s="4">
        <v>638.05999999999995</v>
      </c>
      <c r="H40" s="4">
        <v>10</v>
      </c>
      <c r="I40" s="6">
        <f t="shared" si="0"/>
        <v>0.13495546676875503</v>
      </c>
      <c r="J40" t="str">
        <f t="shared" si="1"/>
        <v>Jun-2025</v>
      </c>
    </row>
    <row r="41" spans="1:10" x14ac:dyDescent="0.3">
      <c r="A41" s="4" t="s">
        <v>96</v>
      </c>
      <c r="B41" s="5" t="s">
        <v>97</v>
      </c>
      <c r="C41" s="4" t="s">
        <v>15</v>
      </c>
      <c r="D41" s="4" t="s">
        <v>27</v>
      </c>
      <c r="E41" s="4" t="s">
        <v>12</v>
      </c>
      <c r="F41" s="4">
        <v>2085.6</v>
      </c>
      <c r="G41" s="4">
        <v>706.93</v>
      </c>
      <c r="H41" s="4">
        <v>6</v>
      </c>
      <c r="I41" s="6">
        <f t="shared" si="0"/>
        <v>0.33895761411584197</v>
      </c>
      <c r="J41" t="str">
        <f t="shared" si="1"/>
        <v>May-2025</v>
      </c>
    </row>
    <row r="42" spans="1:10" x14ac:dyDescent="0.3">
      <c r="A42" s="4" t="s">
        <v>98</v>
      </c>
      <c r="B42" s="5" t="s">
        <v>99</v>
      </c>
      <c r="C42" s="4" t="s">
        <v>10</v>
      </c>
      <c r="D42" s="4" t="s">
        <v>11</v>
      </c>
      <c r="E42" s="4" t="s">
        <v>12</v>
      </c>
      <c r="F42" s="4">
        <v>4687.1400000000003</v>
      </c>
      <c r="G42" s="4">
        <v>245.51</v>
      </c>
      <c r="H42" s="4">
        <v>2</v>
      </c>
      <c r="I42" s="6">
        <f t="shared" si="0"/>
        <v>5.2379489411453463E-2</v>
      </c>
      <c r="J42" t="str">
        <f t="shared" si="1"/>
        <v>Aug-2025</v>
      </c>
    </row>
    <row r="43" spans="1:10" x14ac:dyDescent="0.3">
      <c r="A43" s="4" t="s">
        <v>100</v>
      </c>
      <c r="B43" s="5" t="s">
        <v>101</v>
      </c>
      <c r="C43" s="4" t="s">
        <v>34</v>
      </c>
      <c r="D43" s="4" t="s">
        <v>37</v>
      </c>
      <c r="E43" s="4" t="s">
        <v>17</v>
      </c>
      <c r="F43" s="4">
        <v>3559.3</v>
      </c>
      <c r="G43" s="4">
        <v>231.65</v>
      </c>
      <c r="H43" s="4">
        <v>9</v>
      </c>
      <c r="I43" s="6">
        <f t="shared" si="0"/>
        <v>6.5083021942516792E-2</v>
      </c>
      <c r="J43" t="str">
        <f t="shared" si="1"/>
        <v>Mar-2025</v>
      </c>
    </row>
    <row r="44" spans="1:10" x14ac:dyDescent="0.3">
      <c r="A44" s="4" t="s">
        <v>102</v>
      </c>
      <c r="B44" s="5" t="s">
        <v>103</v>
      </c>
      <c r="C44" s="4" t="s">
        <v>10</v>
      </c>
      <c r="D44" s="4" t="s">
        <v>11</v>
      </c>
      <c r="E44" s="4" t="s">
        <v>12</v>
      </c>
      <c r="F44" s="4">
        <v>935.38</v>
      </c>
      <c r="G44" s="4">
        <v>230.22</v>
      </c>
      <c r="H44" s="4">
        <v>4</v>
      </c>
      <c r="I44" s="6">
        <f t="shared" si="0"/>
        <v>0.24612456969360047</v>
      </c>
      <c r="J44" t="str">
        <f t="shared" si="1"/>
        <v>Jan-2025</v>
      </c>
    </row>
    <row r="45" spans="1:10" x14ac:dyDescent="0.3">
      <c r="A45" s="4" t="s">
        <v>104</v>
      </c>
      <c r="B45" s="5" t="s">
        <v>105</v>
      </c>
      <c r="C45" s="4" t="s">
        <v>24</v>
      </c>
      <c r="D45" s="4" t="s">
        <v>16</v>
      </c>
      <c r="E45" s="4" t="s">
        <v>17</v>
      </c>
      <c r="F45" s="4">
        <v>1348.36</v>
      </c>
      <c r="G45" s="4">
        <v>339.48</v>
      </c>
      <c r="H45" s="4">
        <v>9</v>
      </c>
      <c r="I45" s="6">
        <f t="shared" si="0"/>
        <v>0.25177252365837022</v>
      </c>
      <c r="J45" t="str">
        <f t="shared" si="1"/>
        <v>Mar-2025</v>
      </c>
    </row>
    <row r="46" spans="1:10" x14ac:dyDescent="0.3">
      <c r="A46" s="4" t="s">
        <v>106</v>
      </c>
      <c r="B46" s="5" t="s">
        <v>107</v>
      </c>
      <c r="C46" s="4" t="s">
        <v>24</v>
      </c>
      <c r="D46" s="4" t="s">
        <v>40</v>
      </c>
      <c r="E46" s="4" t="s">
        <v>41</v>
      </c>
      <c r="F46" s="4">
        <v>932.38</v>
      </c>
      <c r="G46" s="4">
        <v>184.52</v>
      </c>
      <c r="H46" s="4">
        <v>10</v>
      </c>
      <c r="I46" s="6">
        <f t="shared" si="0"/>
        <v>0.19790214290310817</v>
      </c>
      <c r="J46" t="str">
        <f t="shared" si="1"/>
        <v>Jun-2025</v>
      </c>
    </row>
    <row r="47" spans="1:10" x14ac:dyDescent="0.3">
      <c r="A47" s="4" t="s">
        <v>108</v>
      </c>
      <c r="B47" s="5" t="s">
        <v>109</v>
      </c>
      <c r="C47" s="4" t="s">
        <v>24</v>
      </c>
      <c r="D47" s="4" t="s">
        <v>20</v>
      </c>
      <c r="E47" s="4" t="s">
        <v>12</v>
      </c>
      <c r="F47" s="4">
        <v>4897.76</v>
      </c>
      <c r="G47" s="4">
        <v>769.33</v>
      </c>
      <c r="H47" s="4">
        <v>3</v>
      </c>
      <c r="I47" s="6">
        <f t="shared" si="0"/>
        <v>0.15707792950246643</v>
      </c>
      <c r="J47" t="str">
        <f t="shared" si="1"/>
        <v>Sep-2025</v>
      </c>
    </row>
    <row r="48" spans="1:10" x14ac:dyDescent="0.3">
      <c r="A48" s="4" t="s">
        <v>110</v>
      </c>
      <c r="B48" s="5" t="s">
        <v>111</v>
      </c>
      <c r="C48" s="4" t="s">
        <v>10</v>
      </c>
      <c r="D48" s="4" t="s">
        <v>27</v>
      </c>
      <c r="E48" s="4" t="s">
        <v>12</v>
      </c>
      <c r="F48" s="4">
        <v>3791.71</v>
      </c>
      <c r="G48" s="4">
        <v>461.92</v>
      </c>
      <c r="H48" s="4">
        <v>4</v>
      </c>
      <c r="I48" s="6">
        <f t="shared" si="0"/>
        <v>0.12182366267462438</v>
      </c>
      <c r="J48" t="str">
        <f t="shared" si="1"/>
        <v>Sep-2025</v>
      </c>
    </row>
    <row r="49" spans="1:10" x14ac:dyDescent="0.3">
      <c r="A49" s="4" t="s">
        <v>112</v>
      </c>
      <c r="B49" s="5" t="s">
        <v>113</v>
      </c>
      <c r="C49" s="4" t="s">
        <v>24</v>
      </c>
      <c r="D49" s="4" t="s">
        <v>16</v>
      </c>
      <c r="E49" s="4" t="s">
        <v>17</v>
      </c>
      <c r="F49" s="4">
        <v>1944.3</v>
      </c>
      <c r="G49" s="4">
        <v>636.13</v>
      </c>
      <c r="H49" s="4">
        <v>7</v>
      </c>
      <c r="I49" s="6">
        <f t="shared" si="0"/>
        <v>0.32717687599650258</v>
      </c>
      <c r="J49" t="str">
        <f t="shared" si="1"/>
        <v>Dec-2025</v>
      </c>
    </row>
    <row r="50" spans="1:10" x14ac:dyDescent="0.3">
      <c r="A50" s="4" t="s">
        <v>114</v>
      </c>
      <c r="B50" s="5" t="s">
        <v>115</v>
      </c>
      <c r="C50" s="4" t="s">
        <v>34</v>
      </c>
      <c r="D50" s="4" t="s">
        <v>46</v>
      </c>
      <c r="E50" s="4" t="s">
        <v>41</v>
      </c>
      <c r="F50" s="4">
        <v>1714.65</v>
      </c>
      <c r="G50" s="4">
        <v>190.44</v>
      </c>
      <c r="H50" s="4">
        <v>3</v>
      </c>
      <c r="I50" s="6">
        <f t="shared" si="0"/>
        <v>0.11106639839034205</v>
      </c>
      <c r="J50" t="str">
        <f t="shared" si="1"/>
        <v>Dec-2025</v>
      </c>
    </row>
    <row r="51" spans="1:10" x14ac:dyDescent="0.3">
      <c r="A51" s="4" t="s">
        <v>116</v>
      </c>
      <c r="B51" s="5" t="s">
        <v>117</v>
      </c>
      <c r="C51" s="4" t="s">
        <v>15</v>
      </c>
      <c r="D51" s="4" t="s">
        <v>11</v>
      </c>
      <c r="E51" s="4" t="s">
        <v>12</v>
      </c>
      <c r="F51" s="4">
        <v>2941.49</v>
      </c>
      <c r="G51" s="4">
        <v>608.91999999999996</v>
      </c>
      <c r="H51" s="4">
        <v>4</v>
      </c>
      <c r="I51" s="6">
        <f t="shared" si="0"/>
        <v>0.20701073265589889</v>
      </c>
      <c r="J51" t="str">
        <f t="shared" si="1"/>
        <v>Mar-2025</v>
      </c>
    </row>
    <row r="52" spans="1:10" x14ac:dyDescent="0.3">
      <c r="A52" s="4" t="s">
        <v>118</v>
      </c>
      <c r="B52" s="5" t="s">
        <v>119</v>
      </c>
      <c r="C52" s="4" t="s">
        <v>24</v>
      </c>
      <c r="D52" s="4" t="s">
        <v>95</v>
      </c>
      <c r="E52" s="4" t="s">
        <v>17</v>
      </c>
      <c r="F52" s="4">
        <v>4558.04</v>
      </c>
      <c r="G52" s="4">
        <v>523.79999999999995</v>
      </c>
      <c r="H52" s="4">
        <v>6</v>
      </c>
      <c r="I52" s="6">
        <f t="shared" si="0"/>
        <v>0.11491781555229878</v>
      </c>
      <c r="J52" t="str">
        <f t="shared" si="1"/>
        <v>Mar-2025</v>
      </c>
    </row>
    <row r="53" spans="1:10" x14ac:dyDescent="0.3">
      <c r="A53" s="4" t="s">
        <v>120</v>
      </c>
      <c r="B53" s="5" t="s">
        <v>121</v>
      </c>
      <c r="C53" s="4" t="s">
        <v>24</v>
      </c>
      <c r="D53" s="4" t="s">
        <v>37</v>
      </c>
      <c r="E53" s="4" t="s">
        <v>17</v>
      </c>
      <c r="F53" s="4">
        <v>3529.76</v>
      </c>
      <c r="G53" s="4">
        <v>275.33</v>
      </c>
      <c r="H53" s="4">
        <v>10</v>
      </c>
      <c r="I53" s="6">
        <f t="shared" si="0"/>
        <v>7.800247042291826E-2</v>
      </c>
      <c r="J53" t="str">
        <f t="shared" si="1"/>
        <v>Aug-2025</v>
      </c>
    </row>
    <row r="54" spans="1:10" x14ac:dyDescent="0.3">
      <c r="A54" s="4" t="s">
        <v>122</v>
      </c>
      <c r="B54" s="5" t="s">
        <v>123</v>
      </c>
      <c r="C54" s="4" t="s">
        <v>10</v>
      </c>
      <c r="D54" s="4" t="s">
        <v>95</v>
      </c>
      <c r="E54" s="4" t="s">
        <v>17</v>
      </c>
      <c r="F54" s="4">
        <v>481.59</v>
      </c>
      <c r="G54" s="4">
        <v>73.680000000000007</v>
      </c>
      <c r="H54" s="4">
        <v>2</v>
      </c>
      <c r="I54" s="6">
        <f t="shared" si="0"/>
        <v>0.15299320999190186</v>
      </c>
      <c r="J54" t="str">
        <f t="shared" si="1"/>
        <v>Feb-2025</v>
      </c>
    </row>
    <row r="55" spans="1:10" x14ac:dyDescent="0.3">
      <c r="A55" s="4" t="s">
        <v>124</v>
      </c>
      <c r="B55" s="5" t="s">
        <v>125</v>
      </c>
      <c r="C55" s="4" t="s">
        <v>15</v>
      </c>
      <c r="D55" s="4" t="s">
        <v>40</v>
      </c>
      <c r="E55" s="4" t="s">
        <v>41</v>
      </c>
      <c r="F55" s="4">
        <v>3467.43</v>
      </c>
      <c r="G55" s="4">
        <v>231.26</v>
      </c>
      <c r="H55" s="4">
        <v>7</v>
      </c>
      <c r="I55" s="6">
        <f t="shared" si="0"/>
        <v>6.6694929674139064E-2</v>
      </c>
      <c r="J55" t="str">
        <f t="shared" si="1"/>
        <v>Mar-2025</v>
      </c>
    </row>
    <row r="56" spans="1:10" x14ac:dyDescent="0.3">
      <c r="A56" s="4" t="s">
        <v>126</v>
      </c>
      <c r="B56" s="5" t="s">
        <v>127</v>
      </c>
      <c r="C56" s="4" t="s">
        <v>24</v>
      </c>
      <c r="D56" s="4" t="s">
        <v>16</v>
      </c>
      <c r="E56" s="4" t="s">
        <v>17</v>
      </c>
      <c r="F56" s="4">
        <v>4949.71</v>
      </c>
      <c r="G56" s="4">
        <v>1513.69</v>
      </c>
      <c r="H56" s="4">
        <v>10</v>
      </c>
      <c r="I56" s="6">
        <f t="shared" si="0"/>
        <v>0.30581387596445048</v>
      </c>
      <c r="J56" t="str">
        <f t="shared" si="1"/>
        <v>Jun-2025</v>
      </c>
    </row>
    <row r="57" spans="1:10" x14ac:dyDescent="0.3">
      <c r="A57" s="4" t="s">
        <v>128</v>
      </c>
      <c r="B57" s="5" t="s">
        <v>129</v>
      </c>
      <c r="C57" s="4" t="s">
        <v>34</v>
      </c>
      <c r="D57" s="4" t="s">
        <v>46</v>
      </c>
      <c r="E57" s="4" t="s">
        <v>41</v>
      </c>
      <c r="F57" s="4">
        <v>755.59</v>
      </c>
      <c r="G57" s="4">
        <v>181.9</v>
      </c>
      <c r="H57" s="4">
        <v>9</v>
      </c>
      <c r="I57" s="6">
        <f t="shared" si="0"/>
        <v>0.24073902513267778</v>
      </c>
      <c r="J57" t="str">
        <f t="shared" si="1"/>
        <v>Sep-2025</v>
      </c>
    </row>
    <row r="58" spans="1:10" x14ac:dyDescent="0.3">
      <c r="A58" s="4" t="s">
        <v>130</v>
      </c>
      <c r="B58" s="5" t="s">
        <v>131</v>
      </c>
      <c r="C58" s="4" t="s">
        <v>34</v>
      </c>
      <c r="D58" s="4" t="s">
        <v>20</v>
      </c>
      <c r="E58" s="4" t="s">
        <v>12</v>
      </c>
      <c r="F58" s="4">
        <v>2875.89</v>
      </c>
      <c r="G58" s="4">
        <v>711.32</v>
      </c>
      <c r="H58" s="4">
        <v>3</v>
      </c>
      <c r="I58" s="6">
        <f t="shared" si="0"/>
        <v>0.24733908459642062</v>
      </c>
      <c r="J58" t="str">
        <f t="shared" si="1"/>
        <v>Nov-2025</v>
      </c>
    </row>
    <row r="59" spans="1:10" x14ac:dyDescent="0.3">
      <c r="A59" s="4" t="s">
        <v>132</v>
      </c>
      <c r="B59" s="5" t="s">
        <v>133</v>
      </c>
      <c r="C59" s="4" t="s">
        <v>34</v>
      </c>
      <c r="D59" s="4" t="s">
        <v>27</v>
      </c>
      <c r="E59" s="4" t="s">
        <v>12</v>
      </c>
      <c r="F59" s="4">
        <v>289.82</v>
      </c>
      <c r="G59" s="4">
        <v>73.36</v>
      </c>
      <c r="H59" s="4">
        <v>5</v>
      </c>
      <c r="I59" s="6">
        <f t="shared" si="0"/>
        <v>0.25312262783796841</v>
      </c>
      <c r="J59" t="str">
        <f t="shared" si="1"/>
        <v>May-2025</v>
      </c>
    </row>
    <row r="60" spans="1:10" x14ac:dyDescent="0.3">
      <c r="A60" s="4" t="s">
        <v>134</v>
      </c>
      <c r="B60" s="5" t="s">
        <v>135</v>
      </c>
      <c r="C60" s="4" t="s">
        <v>34</v>
      </c>
      <c r="D60" s="4" t="s">
        <v>95</v>
      </c>
      <c r="E60" s="4" t="s">
        <v>17</v>
      </c>
      <c r="F60" s="4">
        <v>425.34</v>
      </c>
      <c r="G60" s="4">
        <v>79.67</v>
      </c>
      <c r="H60" s="4">
        <v>4</v>
      </c>
      <c r="I60" s="6">
        <f t="shared" si="0"/>
        <v>0.1873089763483331</v>
      </c>
      <c r="J60" t="str">
        <f t="shared" si="1"/>
        <v>Nov-2025</v>
      </c>
    </row>
    <row r="61" spans="1:10" x14ac:dyDescent="0.3">
      <c r="A61" s="4" t="s">
        <v>136</v>
      </c>
      <c r="B61" s="5" t="s">
        <v>75</v>
      </c>
      <c r="C61" s="4" t="s">
        <v>34</v>
      </c>
      <c r="D61" s="4" t="s">
        <v>11</v>
      </c>
      <c r="E61" s="4" t="s">
        <v>12</v>
      </c>
      <c r="F61" s="4">
        <v>2503.77</v>
      </c>
      <c r="G61" s="4">
        <v>448.15</v>
      </c>
      <c r="H61" s="4">
        <v>5</v>
      </c>
      <c r="I61" s="6">
        <f t="shared" si="0"/>
        <v>0.17899008295490398</v>
      </c>
      <c r="J61" t="str">
        <f t="shared" si="1"/>
        <v>Jun-2025</v>
      </c>
    </row>
    <row r="62" spans="1:10" x14ac:dyDescent="0.3">
      <c r="A62" s="4" t="s">
        <v>137</v>
      </c>
      <c r="B62" s="5" t="s">
        <v>138</v>
      </c>
      <c r="C62" s="4" t="s">
        <v>34</v>
      </c>
      <c r="D62" s="4" t="s">
        <v>27</v>
      </c>
      <c r="E62" s="4" t="s">
        <v>12</v>
      </c>
      <c r="F62" s="4">
        <v>3296.8</v>
      </c>
      <c r="G62" s="4">
        <v>423.46</v>
      </c>
      <c r="H62" s="4">
        <v>10</v>
      </c>
      <c r="I62" s="6">
        <f t="shared" si="0"/>
        <v>0.12844576559087598</v>
      </c>
      <c r="J62" t="str">
        <f t="shared" si="1"/>
        <v>May-2025</v>
      </c>
    </row>
    <row r="63" spans="1:10" x14ac:dyDescent="0.3">
      <c r="A63" s="4" t="s">
        <v>139</v>
      </c>
      <c r="B63" s="5" t="s">
        <v>140</v>
      </c>
      <c r="C63" s="4" t="s">
        <v>34</v>
      </c>
      <c r="D63" s="4" t="s">
        <v>40</v>
      </c>
      <c r="E63" s="4" t="s">
        <v>41</v>
      </c>
      <c r="F63" s="4">
        <v>3926.73</v>
      </c>
      <c r="G63" s="4">
        <v>829.41</v>
      </c>
      <c r="H63" s="4">
        <v>4</v>
      </c>
      <c r="I63" s="6">
        <f t="shared" si="0"/>
        <v>0.21122155075597251</v>
      </c>
      <c r="J63" t="str">
        <f t="shared" si="1"/>
        <v>May-2025</v>
      </c>
    </row>
    <row r="64" spans="1:10" x14ac:dyDescent="0.3">
      <c r="A64" s="4" t="s">
        <v>141</v>
      </c>
      <c r="B64" s="5" t="s">
        <v>85</v>
      </c>
      <c r="C64" s="4" t="s">
        <v>15</v>
      </c>
      <c r="D64" s="4" t="s">
        <v>11</v>
      </c>
      <c r="E64" s="4" t="s">
        <v>12</v>
      </c>
      <c r="F64" s="4">
        <v>4134.1899999999996</v>
      </c>
      <c r="G64" s="4">
        <v>268.13</v>
      </c>
      <c r="H64" s="4">
        <v>3</v>
      </c>
      <c r="I64" s="6">
        <f t="shared" si="0"/>
        <v>6.4856719212227798E-2</v>
      </c>
      <c r="J64" t="str">
        <f t="shared" si="1"/>
        <v>Nov-2025</v>
      </c>
    </row>
    <row r="65" spans="1:10" x14ac:dyDescent="0.3">
      <c r="A65" s="4" t="s">
        <v>142</v>
      </c>
      <c r="B65" s="5" t="s">
        <v>143</v>
      </c>
      <c r="C65" s="4" t="s">
        <v>10</v>
      </c>
      <c r="D65" s="4" t="s">
        <v>46</v>
      </c>
      <c r="E65" s="4" t="s">
        <v>41</v>
      </c>
      <c r="F65" s="4">
        <v>3385.24</v>
      </c>
      <c r="G65" s="4">
        <v>1151.49</v>
      </c>
      <c r="H65" s="4">
        <v>8</v>
      </c>
      <c r="I65" s="6">
        <f t="shared" si="0"/>
        <v>0.34015018137561887</v>
      </c>
      <c r="J65" t="str">
        <f t="shared" si="1"/>
        <v>Sep-2025</v>
      </c>
    </row>
    <row r="66" spans="1:10" x14ac:dyDescent="0.3">
      <c r="A66" s="4" t="s">
        <v>144</v>
      </c>
      <c r="B66" s="5" t="s">
        <v>145</v>
      </c>
      <c r="C66" s="4" t="s">
        <v>10</v>
      </c>
      <c r="D66" s="4" t="s">
        <v>37</v>
      </c>
      <c r="E66" s="4" t="s">
        <v>17</v>
      </c>
      <c r="F66" s="4">
        <v>2841.93</v>
      </c>
      <c r="G66" s="4">
        <v>149.74</v>
      </c>
      <c r="H66" s="4">
        <v>8</v>
      </c>
      <c r="I66" s="6">
        <f t="shared" si="0"/>
        <v>5.2689545484934541E-2</v>
      </c>
      <c r="J66" t="str">
        <f t="shared" si="1"/>
        <v>Jul-2025</v>
      </c>
    </row>
    <row r="67" spans="1:10" x14ac:dyDescent="0.3">
      <c r="A67" s="4" t="s">
        <v>146</v>
      </c>
      <c r="B67" s="5" t="s">
        <v>147</v>
      </c>
      <c r="C67" s="4" t="s">
        <v>34</v>
      </c>
      <c r="D67" s="4" t="s">
        <v>16</v>
      </c>
      <c r="E67" s="4" t="s">
        <v>17</v>
      </c>
      <c r="F67" s="4">
        <v>4540.28</v>
      </c>
      <c r="G67" s="4">
        <v>1174.26</v>
      </c>
      <c r="H67" s="4">
        <v>3</v>
      </c>
      <c r="I67" s="6">
        <f t="shared" ref="I67:I130" si="2">G67/F67</f>
        <v>0.25863162624331543</v>
      </c>
      <c r="J67" t="str">
        <f t="shared" ref="J67:J130" si="3">TEXT(B67,"mmm-yyyy")</f>
        <v>Dec-2025</v>
      </c>
    </row>
    <row r="68" spans="1:10" x14ac:dyDescent="0.3">
      <c r="A68" s="4" t="s">
        <v>148</v>
      </c>
      <c r="B68" s="5" t="s">
        <v>149</v>
      </c>
      <c r="C68" s="4" t="s">
        <v>24</v>
      </c>
      <c r="D68" s="4" t="s">
        <v>46</v>
      </c>
      <c r="E68" s="4" t="s">
        <v>41</v>
      </c>
      <c r="F68" s="4">
        <v>372.6</v>
      </c>
      <c r="G68" s="4">
        <v>36.54</v>
      </c>
      <c r="H68" s="4">
        <v>10</v>
      </c>
      <c r="I68" s="6">
        <f t="shared" si="2"/>
        <v>9.8067632850241532E-2</v>
      </c>
      <c r="J68" t="str">
        <f t="shared" si="3"/>
        <v>Apr-2025</v>
      </c>
    </row>
    <row r="69" spans="1:10" x14ac:dyDescent="0.3">
      <c r="A69" s="4" t="s">
        <v>150</v>
      </c>
      <c r="B69" s="5" t="s">
        <v>151</v>
      </c>
      <c r="C69" s="4" t="s">
        <v>24</v>
      </c>
      <c r="D69" s="4" t="s">
        <v>20</v>
      </c>
      <c r="E69" s="4" t="s">
        <v>12</v>
      </c>
      <c r="F69" s="4">
        <v>353.71</v>
      </c>
      <c r="G69" s="4">
        <v>18.36</v>
      </c>
      <c r="H69" s="4">
        <v>7</v>
      </c>
      <c r="I69" s="6">
        <f t="shared" si="2"/>
        <v>5.190692940544514E-2</v>
      </c>
      <c r="J69" t="str">
        <f t="shared" si="3"/>
        <v>Aug-2025</v>
      </c>
    </row>
    <row r="70" spans="1:10" x14ac:dyDescent="0.3">
      <c r="A70" s="4" t="s">
        <v>152</v>
      </c>
      <c r="B70" s="5" t="s">
        <v>153</v>
      </c>
      <c r="C70" s="4" t="s">
        <v>34</v>
      </c>
      <c r="D70" s="4" t="s">
        <v>40</v>
      </c>
      <c r="E70" s="4" t="s">
        <v>41</v>
      </c>
      <c r="F70" s="4">
        <v>919</v>
      </c>
      <c r="G70" s="4">
        <v>233.72</v>
      </c>
      <c r="H70" s="4">
        <v>7</v>
      </c>
      <c r="I70" s="6">
        <f t="shared" si="2"/>
        <v>0.25431991294885747</v>
      </c>
      <c r="J70" t="str">
        <f t="shared" si="3"/>
        <v>Jul-2025</v>
      </c>
    </row>
    <row r="71" spans="1:10" x14ac:dyDescent="0.3">
      <c r="A71" s="4" t="s">
        <v>154</v>
      </c>
      <c r="B71" s="5" t="s">
        <v>155</v>
      </c>
      <c r="C71" s="4" t="s">
        <v>24</v>
      </c>
      <c r="D71" s="4" t="s">
        <v>16</v>
      </c>
      <c r="E71" s="4" t="s">
        <v>17</v>
      </c>
      <c r="F71" s="4">
        <v>4541.88</v>
      </c>
      <c r="G71" s="4">
        <v>1415.77</v>
      </c>
      <c r="H71" s="4">
        <v>4</v>
      </c>
      <c r="I71" s="6">
        <f t="shared" si="2"/>
        <v>0.31171453230820717</v>
      </c>
      <c r="J71" t="str">
        <f t="shared" si="3"/>
        <v>Jan-2025</v>
      </c>
    </row>
    <row r="72" spans="1:10" x14ac:dyDescent="0.3">
      <c r="A72" s="4" t="s">
        <v>156</v>
      </c>
      <c r="B72" s="5" t="s">
        <v>157</v>
      </c>
      <c r="C72" s="4" t="s">
        <v>34</v>
      </c>
      <c r="D72" s="4" t="s">
        <v>37</v>
      </c>
      <c r="E72" s="4" t="s">
        <v>17</v>
      </c>
      <c r="F72" s="4">
        <v>766.76</v>
      </c>
      <c r="G72" s="4">
        <v>164.24</v>
      </c>
      <c r="H72" s="4">
        <v>3</v>
      </c>
      <c r="I72" s="6">
        <f t="shared" si="2"/>
        <v>0.21420001043351244</v>
      </c>
      <c r="J72" t="str">
        <f t="shared" si="3"/>
        <v>Aug-2025</v>
      </c>
    </row>
    <row r="73" spans="1:10" x14ac:dyDescent="0.3">
      <c r="A73" s="4" t="s">
        <v>158</v>
      </c>
      <c r="B73" s="5" t="s">
        <v>159</v>
      </c>
      <c r="C73" s="4" t="s">
        <v>24</v>
      </c>
      <c r="D73" s="4" t="s">
        <v>95</v>
      </c>
      <c r="E73" s="4" t="s">
        <v>17</v>
      </c>
      <c r="F73" s="4">
        <v>4384.43</v>
      </c>
      <c r="G73" s="4">
        <v>529.52</v>
      </c>
      <c r="H73" s="4">
        <v>4</v>
      </c>
      <c r="I73" s="6">
        <f t="shared" si="2"/>
        <v>0.12077282565806728</v>
      </c>
      <c r="J73" t="str">
        <f t="shared" si="3"/>
        <v>Oct-2025</v>
      </c>
    </row>
    <row r="74" spans="1:10" x14ac:dyDescent="0.3">
      <c r="A74" s="4" t="s">
        <v>160</v>
      </c>
      <c r="B74" s="5" t="s">
        <v>161</v>
      </c>
      <c r="C74" s="4" t="s">
        <v>10</v>
      </c>
      <c r="D74" s="4" t="s">
        <v>27</v>
      </c>
      <c r="E74" s="4" t="s">
        <v>12</v>
      </c>
      <c r="F74" s="4">
        <v>549.33000000000004</v>
      </c>
      <c r="G74" s="4">
        <v>139.94999999999999</v>
      </c>
      <c r="H74" s="4">
        <v>7</v>
      </c>
      <c r="I74" s="6">
        <f t="shared" si="2"/>
        <v>0.25476489541805469</v>
      </c>
      <c r="J74" t="str">
        <f t="shared" si="3"/>
        <v>May-2025</v>
      </c>
    </row>
    <row r="75" spans="1:10" x14ac:dyDescent="0.3">
      <c r="A75" s="4" t="s">
        <v>162</v>
      </c>
      <c r="B75" s="5" t="s">
        <v>163</v>
      </c>
      <c r="C75" s="4" t="s">
        <v>34</v>
      </c>
      <c r="D75" s="4" t="s">
        <v>46</v>
      </c>
      <c r="E75" s="4" t="s">
        <v>41</v>
      </c>
      <c r="F75" s="4">
        <v>1407.17</v>
      </c>
      <c r="G75" s="4">
        <v>316.38</v>
      </c>
      <c r="H75" s="4">
        <v>2</v>
      </c>
      <c r="I75" s="6">
        <f t="shared" si="2"/>
        <v>0.22483424177604694</v>
      </c>
      <c r="J75" t="str">
        <f t="shared" si="3"/>
        <v>Sep-2025</v>
      </c>
    </row>
    <row r="76" spans="1:10" x14ac:dyDescent="0.3">
      <c r="A76" s="4" t="s">
        <v>164</v>
      </c>
      <c r="B76" s="5" t="s">
        <v>73</v>
      </c>
      <c r="C76" s="4" t="s">
        <v>15</v>
      </c>
      <c r="D76" s="4" t="s">
        <v>95</v>
      </c>
      <c r="E76" s="4" t="s">
        <v>17</v>
      </c>
      <c r="F76" s="4">
        <v>4625.32</v>
      </c>
      <c r="G76" s="4">
        <v>1430.82</v>
      </c>
      <c r="H76" s="4">
        <v>4</v>
      </c>
      <c r="I76" s="6">
        <f t="shared" si="2"/>
        <v>0.30934508315100362</v>
      </c>
      <c r="J76" t="str">
        <f t="shared" si="3"/>
        <v>Dec-2025</v>
      </c>
    </row>
    <row r="77" spans="1:10" x14ac:dyDescent="0.3">
      <c r="A77" s="4" t="s">
        <v>165</v>
      </c>
      <c r="B77" s="5" t="s">
        <v>105</v>
      </c>
      <c r="C77" s="4" t="s">
        <v>10</v>
      </c>
      <c r="D77" s="4" t="s">
        <v>16</v>
      </c>
      <c r="E77" s="4" t="s">
        <v>17</v>
      </c>
      <c r="F77" s="4">
        <v>1404.82</v>
      </c>
      <c r="G77" s="4">
        <v>306.43</v>
      </c>
      <c r="H77" s="4">
        <v>5</v>
      </c>
      <c r="I77" s="6">
        <f t="shared" si="2"/>
        <v>0.21812758929969678</v>
      </c>
      <c r="J77" t="str">
        <f t="shared" si="3"/>
        <v>Mar-2025</v>
      </c>
    </row>
    <row r="78" spans="1:10" x14ac:dyDescent="0.3">
      <c r="A78" s="4" t="s">
        <v>166</v>
      </c>
      <c r="B78" s="5" t="s">
        <v>167</v>
      </c>
      <c r="C78" s="4" t="s">
        <v>10</v>
      </c>
      <c r="D78" s="4" t="s">
        <v>46</v>
      </c>
      <c r="E78" s="4" t="s">
        <v>41</v>
      </c>
      <c r="F78" s="4">
        <v>4483.8</v>
      </c>
      <c r="G78" s="4">
        <v>621.67999999999995</v>
      </c>
      <c r="H78" s="4">
        <v>9</v>
      </c>
      <c r="I78" s="6">
        <f t="shared" si="2"/>
        <v>0.13865025201837725</v>
      </c>
      <c r="J78" t="str">
        <f t="shared" si="3"/>
        <v>Apr-2025</v>
      </c>
    </row>
    <row r="79" spans="1:10" x14ac:dyDescent="0.3">
      <c r="A79" s="4" t="s">
        <v>168</v>
      </c>
      <c r="B79" s="5" t="s">
        <v>169</v>
      </c>
      <c r="C79" s="4" t="s">
        <v>34</v>
      </c>
      <c r="D79" s="4" t="s">
        <v>46</v>
      </c>
      <c r="E79" s="4" t="s">
        <v>41</v>
      </c>
      <c r="F79" s="4">
        <v>284.52</v>
      </c>
      <c r="G79" s="4">
        <v>77.97</v>
      </c>
      <c r="H79" s="4">
        <v>8</v>
      </c>
      <c r="I79" s="6">
        <f t="shared" si="2"/>
        <v>0.27404048924504432</v>
      </c>
      <c r="J79" t="str">
        <f t="shared" si="3"/>
        <v>Feb-2025</v>
      </c>
    </row>
    <row r="80" spans="1:10" x14ac:dyDescent="0.3">
      <c r="A80" s="4" t="s">
        <v>170</v>
      </c>
      <c r="B80" s="5" t="s">
        <v>171</v>
      </c>
      <c r="C80" s="4" t="s">
        <v>10</v>
      </c>
      <c r="D80" s="4" t="s">
        <v>37</v>
      </c>
      <c r="E80" s="4" t="s">
        <v>17</v>
      </c>
      <c r="F80" s="4">
        <v>1424.46</v>
      </c>
      <c r="G80" s="4">
        <v>165.05</v>
      </c>
      <c r="H80" s="4">
        <v>7</v>
      </c>
      <c r="I80" s="6">
        <f t="shared" si="2"/>
        <v>0.11586846945509176</v>
      </c>
      <c r="J80" t="str">
        <f t="shared" si="3"/>
        <v>May-2025</v>
      </c>
    </row>
    <row r="81" spans="1:10" x14ac:dyDescent="0.3">
      <c r="A81" s="4" t="s">
        <v>172</v>
      </c>
      <c r="B81" s="5" t="s">
        <v>173</v>
      </c>
      <c r="C81" s="4" t="s">
        <v>24</v>
      </c>
      <c r="D81" s="4" t="s">
        <v>20</v>
      </c>
      <c r="E81" s="4" t="s">
        <v>12</v>
      </c>
      <c r="F81" s="4">
        <v>2905.7</v>
      </c>
      <c r="G81" s="4">
        <v>618.66999999999996</v>
      </c>
      <c r="H81" s="4">
        <v>6</v>
      </c>
      <c r="I81" s="6">
        <f t="shared" si="2"/>
        <v>0.21291599270399558</v>
      </c>
      <c r="J81" t="str">
        <f t="shared" si="3"/>
        <v>Nov-2025</v>
      </c>
    </row>
    <row r="82" spans="1:10" x14ac:dyDescent="0.3">
      <c r="A82" s="4" t="s">
        <v>174</v>
      </c>
      <c r="B82" s="5" t="s">
        <v>175</v>
      </c>
      <c r="C82" s="4" t="s">
        <v>15</v>
      </c>
      <c r="D82" s="4" t="s">
        <v>16</v>
      </c>
      <c r="E82" s="4" t="s">
        <v>17</v>
      </c>
      <c r="F82" s="4">
        <v>2768.1</v>
      </c>
      <c r="G82" s="4">
        <v>611.72</v>
      </c>
      <c r="H82" s="4">
        <v>10</v>
      </c>
      <c r="I82" s="6">
        <f t="shared" si="2"/>
        <v>0.22098912611538601</v>
      </c>
      <c r="J82" t="str">
        <f t="shared" si="3"/>
        <v>May-2025</v>
      </c>
    </row>
    <row r="83" spans="1:10" x14ac:dyDescent="0.3">
      <c r="A83" s="4" t="s">
        <v>176</v>
      </c>
      <c r="B83" s="5" t="s">
        <v>177</v>
      </c>
      <c r="C83" s="4" t="s">
        <v>15</v>
      </c>
      <c r="D83" s="4" t="s">
        <v>40</v>
      </c>
      <c r="E83" s="4" t="s">
        <v>41</v>
      </c>
      <c r="F83" s="4">
        <v>3206.6</v>
      </c>
      <c r="G83" s="4">
        <v>916.41</v>
      </c>
      <c r="H83" s="4">
        <v>1</v>
      </c>
      <c r="I83" s="6">
        <f t="shared" si="2"/>
        <v>0.28578868583546435</v>
      </c>
      <c r="J83" t="str">
        <f t="shared" si="3"/>
        <v>Jun-2025</v>
      </c>
    </row>
    <row r="84" spans="1:10" x14ac:dyDescent="0.3">
      <c r="A84" s="4" t="s">
        <v>178</v>
      </c>
      <c r="B84" s="5" t="s">
        <v>177</v>
      </c>
      <c r="C84" s="4" t="s">
        <v>24</v>
      </c>
      <c r="D84" s="4" t="s">
        <v>37</v>
      </c>
      <c r="E84" s="4" t="s">
        <v>17</v>
      </c>
      <c r="F84" s="4">
        <v>4770.5</v>
      </c>
      <c r="G84" s="4">
        <v>650.67999999999995</v>
      </c>
      <c r="H84" s="4">
        <v>7</v>
      </c>
      <c r="I84" s="6">
        <f t="shared" si="2"/>
        <v>0.13639660412954616</v>
      </c>
      <c r="J84" t="str">
        <f t="shared" si="3"/>
        <v>Jun-2025</v>
      </c>
    </row>
    <row r="85" spans="1:10" x14ac:dyDescent="0.3">
      <c r="A85" s="4" t="s">
        <v>179</v>
      </c>
      <c r="B85" s="5" t="s">
        <v>180</v>
      </c>
      <c r="C85" s="4" t="s">
        <v>10</v>
      </c>
      <c r="D85" s="4" t="s">
        <v>16</v>
      </c>
      <c r="E85" s="4" t="s">
        <v>17</v>
      </c>
      <c r="F85" s="4">
        <v>1424.92</v>
      </c>
      <c r="G85" s="4">
        <v>282.45</v>
      </c>
      <c r="H85" s="4">
        <v>4</v>
      </c>
      <c r="I85" s="6">
        <f t="shared" si="2"/>
        <v>0.19822165454902729</v>
      </c>
      <c r="J85" t="str">
        <f t="shared" si="3"/>
        <v>Feb-2025</v>
      </c>
    </row>
    <row r="86" spans="1:10" x14ac:dyDescent="0.3">
      <c r="A86" s="4" t="s">
        <v>181</v>
      </c>
      <c r="B86" s="5" t="s">
        <v>182</v>
      </c>
      <c r="C86" s="4" t="s">
        <v>15</v>
      </c>
      <c r="D86" s="4" t="s">
        <v>16</v>
      </c>
      <c r="E86" s="4" t="s">
        <v>17</v>
      </c>
      <c r="F86" s="4">
        <v>3914.64</v>
      </c>
      <c r="G86" s="4">
        <v>460.6</v>
      </c>
      <c r="H86" s="4">
        <v>3</v>
      </c>
      <c r="I86" s="6">
        <f t="shared" si="2"/>
        <v>0.1176608832485235</v>
      </c>
      <c r="J86" t="str">
        <f t="shared" si="3"/>
        <v>Jul-2025</v>
      </c>
    </row>
    <row r="87" spans="1:10" x14ac:dyDescent="0.3">
      <c r="A87" s="4" t="s">
        <v>183</v>
      </c>
      <c r="B87" s="5" t="s">
        <v>184</v>
      </c>
      <c r="C87" s="4" t="s">
        <v>24</v>
      </c>
      <c r="D87" s="4" t="s">
        <v>27</v>
      </c>
      <c r="E87" s="4" t="s">
        <v>12</v>
      </c>
      <c r="F87" s="4">
        <v>2197.81</v>
      </c>
      <c r="G87" s="4">
        <v>736.59</v>
      </c>
      <c r="H87" s="4">
        <v>3</v>
      </c>
      <c r="I87" s="6">
        <f t="shared" si="2"/>
        <v>0.33514726022722624</v>
      </c>
      <c r="J87" t="str">
        <f t="shared" si="3"/>
        <v>Feb-2025</v>
      </c>
    </row>
    <row r="88" spans="1:10" x14ac:dyDescent="0.3">
      <c r="A88" s="4" t="s">
        <v>185</v>
      </c>
      <c r="B88" s="5" t="s">
        <v>186</v>
      </c>
      <c r="C88" s="4" t="s">
        <v>10</v>
      </c>
      <c r="D88" s="4" t="s">
        <v>20</v>
      </c>
      <c r="E88" s="4" t="s">
        <v>12</v>
      </c>
      <c r="F88" s="4">
        <v>2940.33</v>
      </c>
      <c r="G88" s="4">
        <v>534.20000000000005</v>
      </c>
      <c r="H88" s="4">
        <v>9</v>
      </c>
      <c r="I88" s="6">
        <f t="shared" si="2"/>
        <v>0.18168028758676749</v>
      </c>
      <c r="J88" t="str">
        <f t="shared" si="3"/>
        <v>Aug-2025</v>
      </c>
    </row>
    <row r="89" spans="1:10" x14ac:dyDescent="0.3">
      <c r="A89" s="4" t="s">
        <v>187</v>
      </c>
      <c r="B89" s="5" t="s">
        <v>109</v>
      </c>
      <c r="C89" s="4" t="s">
        <v>10</v>
      </c>
      <c r="D89" s="4" t="s">
        <v>20</v>
      </c>
      <c r="E89" s="4" t="s">
        <v>12</v>
      </c>
      <c r="F89" s="4">
        <v>238.94</v>
      </c>
      <c r="G89" s="4">
        <v>34.53</v>
      </c>
      <c r="H89" s="4">
        <v>8</v>
      </c>
      <c r="I89" s="6">
        <f t="shared" si="2"/>
        <v>0.14451326692893615</v>
      </c>
      <c r="J89" t="str">
        <f t="shared" si="3"/>
        <v>Sep-2025</v>
      </c>
    </row>
    <row r="90" spans="1:10" x14ac:dyDescent="0.3">
      <c r="A90" s="4" t="s">
        <v>188</v>
      </c>
      <c r="B90" s="5" t="s">
        <v>189</v>
      </c>
      <c r="C90" s="4" t="s">
        <v>34</v>
      </c>
      <c r="D90" s="4" t="s">
        <v>16</v>
      </c>
      <c r="E90" s="4" t="s">
        <v>17</v>
      </c>
      <c r="F90" s="4">
        <v>1970.16</v>
      </c>
      <c r="G90" s="4">
        <v>322.37</v>
      </c>
      <c r="H90" s="4">
        <v>3</v>
      </c>
      <c r="I90" s="6">
        <f t="shared" si="2"/>
        <v>0.16362630446258172</v>
      </c>
      <c r="J90" t="str">
        <f t="shared" si="3"/>
        <v>Jun-2025</v>
      </c>
    </row>
    <row r="91" spans="1:10" x14ac:dyDescent="0.3">
      <c r="A91" s="4" t="s">
        <v>190</v>
      </c>
      <c r="B91" s="5" t="s">
        <v>191</v>
      </c>
      <c r="C91" s="4" t="s">
        <v>10</v>
      </c>
      <c r="D91" s="4" t="s">
        <v>20</v>
      </c>
      <c r="E91" s="4" t="s">
        <v>12</v>
      </c>
      <c r="F91" s="4">
        <v>4992.0600000000004</v>
      </c>
      <c r="G91" s="4">
        <v>362.2</v>
      </c>
      <c r="H91" s="4">
        <v>1</v>
      </c>
      <c r="I91" s="6">
        <f t="shared" si="2"/>
        <v>7.2555217685684861E-2</v>
      </c>
      <c r="J91" t="str">
        <f t="shared" si="3"/>
        <v>Jul-2025</v>
      </c>
    </row>
    <row r="92" spans="1:10" x14ac:dyDescent="0.3">
      <c r="A92" s="4" t="s">
        <v>192</v>
      </c>
      <c r="B92" s="5" t="s">
        <v>149</v>
      </c>
      <c r="C92" s="4" t="s">
        <v>24</v>
      </c>
      <c r="D92" s="4" t="s">
        <v>27</v>
      </c>
      <c r="E92" s="4" t="s">
        <v>12</v>
      </c>
      <c r="F92" s="4">
        <v>353.54</v>
      </c>
      <c r="G92" s="4">
        <v>84.39</v>
      </c>
      <c r="H92" s="4">
        <v>1</v>
      </c>
      <c r="I92" s="6">
        <f t="shared" si="2"/>
        <v>0.2387000056570685</v>
      </c>
      <c r="J92" t="str">
        <f t="shared" si="3"/>
        <v>Apr-2025</v>
      </c>
    </row>
    <row r="93" spans="1:10" x14ac:dyDescent="0.3">
      <c r="A93" s="4" t="s">
        <v>193</v>
      </c>
      <c r="B93" s="5" t="s">
        <v>194</v>
      </c>
      <c r="C93" s="4" t="s">
        <v>10</v>
      </c>
      <c r="D93" s="4" t="s">
        <v>27</v>
      </c>
      <c r="E93" s="4" t="s">
        <v>12</v>
      </c>
      <c r="F93" s="4">
        <v>2439.3000000000002</v>
      </c>
      <c r="G93" s="4">
        <v>280.38</v>
      </c>
      <c r="H93" s="4">
        <v>4</v>
      </c>
      <c r="I93" s="6">
        <f t="shared" si="2"/>
        <v>0.11494281146230476</v>
      </c>
      <c r="J93" t="str">
        <f t="shared" si="3"/>
        <v>Nov-2025</v>
      </c>
    </row>
    <row r="94" spans="1:10" x14ac:dyDescent="0.3">
      <c r="A94" s="4" t="s">
        <v>195</v>
      </c>
      <c r="B94" s="5" t="s">
        <v>196</v>
      </c>
      <c r="C94" s="4" t="s">
        <v>10</v>
      </c>
      <c r="D94" s="4" t="s">
        <v>40</v>
      </c>
      <c r="E94" s="4" t="s">
        <v>41</v>
      </c>
      <c r="F94" s="4">
        <v>2168.1799999999998</v>
      </c>
      <c r="G94" s="4">
        <v>524.5</v>
      </c>
      <c r="H94" s="4">
        <v>7</v>
      </c>
      <c r="I94" s="6">
        <f t="shared" si="2"/>
        <v>0.24190795967124504</v>
      </c>
      <c r="J94" t="str">
        <f t="shared" si="3"/>
        <v>Sep-2025</v>
      </c>
    </row>
    <row r="95" spans="1:10" x14ac:dyDescent="0.3">
      <c r="A95" s="4" t="s">
        <v>197</v>
      </c>
      <c r="B95" s="5" t="s">
        <v>149</v>
      </c>
      <c r="C95" s="4" t="s">
        <v>24</v>
      </c>
      <c r="D95" s="4" t="s">
        <v>27</v>
      </c>
      <c r="E95" s="4" t="s">
        <v>12</v>
      </c>
      <c r="F95" s="4">
        <v>2830.96</v>
      </c>
      <c r="G95" s="4">
        <v>176.15</v>
      </c>
      <c r="H95" s="4">
        <v>9</v>
      </c>
      <c r="I95" s="6">
        <f t="shared" si="2"/>
        <v>6.2222708904399925E-2</v>
      </c>
      <c r="J95" t="str">
        <f t="shared" si="3"/>
        <v>Apr-2025</v>
      </c>
    </row>
    <row r="96" spans="1:10" x14ac:dyDescent="0.3">
      <c r="A96" s="4" t="s">
        <v>198</v>
      </c>
      <c r="B96" s="5" t="s">
        <v>173</v>
      </c>
      <c r="C96" s="4" t="s">
        <v>10</v>
      </c>
      <c r="D96" s="4" t="s">
        <v>46</v>
      </c>
      <c r="E96" s="4" t="s">
        <v>41</v>
      </c>
      <c r="F96" s="4">
        <v>1760.76</v>
      </c>
      <c r="G96" s="4">
        <v>531.82000000000005</v>
      </c>
      <c r="H96" s="4">
        <v>3</v>
      </c>
      <c r="I96" s="6">
        <f t="shared" si="2"/>
        <v>0.30204002816965403</v>
      </c>
      <c r="J96" t="str">
        <f t="shared" si="3"/>
        <v>Nov-2025</v>
      </c>
    </row>
    <row r="97" spans="1:10" x14ac:dyDescent="0.3">
      <c r="A97" s="4" t="s">
        <v>199</v>
      </c>
      <c r="B97" s="5" t="s">
        <v>200</v>
      </c>
      <c r="C97" s="4" t="s">
        <v>24</v>
      </c>
      <c r="D97" s="4" t="s">
        <v>27</v>
      </c>
      <c r="E97" s="4" t="s">
        <v>12</v>
      </c>
      <c r="F97" s="4">
        <v>1637.81</v>
      </c>
      <c r="G97" s="4">
        <v>485.94</v>
      </c>
      <c r="H97" s="4">
        <v>1</v>
      </c>
      <c r="I97" s="6">
        <f t="shared" si="2"/>
        <v>0.29670108254315214</v>
      </c>
      <c r="J97" t="str">
        <f t="shared" si="3"/>
        <v>Feb-2025</v>
      </c>
    </row>
    <row r="98" spans="1:10" x14ac:dyDescent="0.3">
      <c r="A98" s="4" t="s">
        <v>201</v>
      </c>
      <c r="B98" s="5" t="s">
        <v>202</v>
      </c>
      <c r="C98" s="4" t="s">
        <v>34</v>
      </c>
      <c r="D98" s="4" t="s">
        <v>27</v>
      </c>
      <c r="E98" s="4" t="s">
        <v>12</v>
      </c>
      <c r="F98" s="4">
        <v>2127.79</v>
      </c>
      <c r="G98" s="4">
        <v>117.74</v>
      </c>
      <c r="H98" s="4">
        <v>10</v>
      </c>
      <c r="I98" s="6">
        <f t="shared" si="2"/>
        <v>5.5334408000789551E-2</v>
      </c>
      <c r="J98" t="str">
        <f t="shared" si="3"/>
        <v>Sep-2025</v>
      </c>
    </row>
    <row r="99" spans="1:10" x14ac:dyDescent="0.3">
      <c r="A99" s="4" t="s">
        <v>203</v>
      </c>
      <c r="B99" s="5" t="s">
        <v>204</v>
      </c>
      <c r="C99" s="4" t="s">
        <v>24</v>
      </c>
      <c r="D99" s="4" t="s">
        <v>11</v>
      </c>
      <c r="E99" s="4" t="s">
        <v>12</v>
      </c>
      <c r="F99" s="4">
        <v>4515.2</v>
      </c>
      <c r="G99" s="4">
        <v>321.62</v>
      </c>
      <c r="H99" s="4">
        <v>5</v>
      </c>
      <c r="I99" s="6">
        <f t="shared" si="2"/>
        <v>7.1230510276399719E-2</v>
      </c>
      <c r="J99" t="str">
        <f t="shared" si="3"/>
        <v>Dec-2025</v>
      </c>
    </row>
    <row r="100" spans="1:10" x14ac:dyDescent="0.3">
      <c r="A100" s="4" t="s">
        <v>205</v>
      </c>
      <c r="B100" s="5" t="s">
        <v>206</v>
      </c>
      <c r="C100" s="4" t="s">
        <v>10</v>
      </c>
      <c r="D100" s="4" t="s">
        <v>46</v>
      </c>
      <c r="E100" s="4" t="s">
        <v>41</v>
      </c>
      <c r="F100" s="4">
        <v>3106.49</v>
      </c>
      <c r="G100" s="4">
        <v>686.76</v>
      </c>
      <c r="H100" s="4">
        <v>2</v>
      </c>
      <c r="I100" s="6">
        <f t="shared" si="2"/>
        <v>0.22107265756529074</v>
      </c>
      <c r="J100" t="str">
        <f t="shared" si="3"/>
        <v>Oct-2025</v>
      </c>
    </row>
    <row r="101" spans="1:10" x14ac:dyDescent="0.3">
      <c r="A101" s="4" t="s">
        <v>207</v>
      </c>
      <c r="B101" s="5" t="s">
        <v>208</v>
      </c>
      <c r="C101" s="4" t="s">
        <v>34</v>
      </c>
      <c r="D101" s="4" t="s">
        <v>37</v>
      </c>
      <c r="E101" s="4" t="s">
        <v>17</v>
      </c>
      <c r="F101" s="4">
        <v>578.83000000000004</v>
      </c>
      <c r="G101" s="4">
        <v>87.76</v>
      </c>
      <c r="H101" s="4">
        <v>3</v>
      </c>
      <c r="I101" s="6">
        <f t="shared" si="2"/>
        <v>0.15161619128241452</v>
      </c>
      <c r="J101" t="str">
        <f t="shared" si="3"/>
        <v>Oct-2025</v>
      </c>
    </row>
    <row r="102" spans="1:10" x14ac:dyDescent="0.3">
      <c r="A102" s="4" t="s">
        <v>209</v>
      </c>
      <c r="B102" s="5" t="s">
        <v>161</v>
      </c>
      <c r="C102" s="4" t="s">
        <v>10</v>
      </c>
      <c r="D102" s="4" t="s">
        <v>46</v>
      </c>
      <c r="E102" s="4" t="s">
        <v>41</v>
      </c>
      <c r="F102" s="4">
        <v>3556.17</v>
      </c>
      <c r="G102" s="4">
        <v>453.33</v>
      </c>
      <c r="H102" s="4">
        <v>5</v>
      </c>
      <c r="I102" s="6">
        <f t="shared" si="2"/>
        <v>0.12747703287525625</v>
      </c>
      <c r="J102" t="str">
        <f t="shared" si="3"/>
        <v>May-2025</v>
      </c>
    </row>
    <row r="103" spans="1:10" x14ac:dyDescent="0.3">
      <c r="A103" s="4" t="s">
        <v>210</v>
      </c>
      <c r="B103" s="5" t="s">
        <v>211</v>
      </c>
      <c r="C103" s="4" t="s">
        <v>24</v>
      </c>
      <c r="D103" s="4" t="s">
        <v>37</v>
      </c>
      <c r="E103" s="4" t="s">
        <v>17</v>
      </c>
      <c r="F103" s="4">
        <v>886.98</v>
      </c>
      <c r="G103" s="4">
        <v>158.77000000000001</v>
      </c>
      <c r="H103" s="4">
        <v>7</v>
      </c>
      <c r="I103" s="6">
        <f t="shared" si="2"/>
        <v>0.1790006539042594</v>
      </c>
      <c r="J103" t="str">
        <f t="shared" si="3"/>
        <v>Nov-2025</v>
      </c>
    </row>
    <row r="104" spans="1:10" x14ac:dyDescent="0.3">
      <c r="A104" s="4" t="s">
        <v>212</v>
      </c>
      <c r="B104" s="5" t="s">
        <v>213</v>
      </c>
      <c r="C104" s="4" t="s">
        <v>10</v>
      </c>
      <c r="D104" s="4" t="s">
        <v>40</v>
      </c>
      <c r="E104" s="4" t="s">
        <v>41</v>
      </c>
      <c r="F104" s="4">
        <v>3227.99</v>
      </c>
      <c r="G104" s="4">
        <v>1026.83</v>
      </c>
      <c r="H104" s="4">
        <v>4</v>
      </c>
      <c r="I104" s="6">
        <f t="shared" si="2"/>
        <v>0.31810197677192309</v>
      </c>
      <c r="J104" t="str">
        <f t="shared" si="3"/>
        <v>Jun-2025</v>
      </c>
    </row>
    <row r="105" spans="1:10" x14ac:dyDescent="0.3">
      <c r="A105" s="4" t="s">
        <v>214</v>
      </c>
      <c r="B105" s="5" t="s">
        <v>215</v>
      </c>
      <c r="C105" s="4" t="s">
        <v>15</v>
      </c>
      <c r="D105" s="4" t="s">
        <v>11</v>
      </c>
      <c r="E105" s="4" t="s">
        <v>12</v>
      </c>
      <c r="F105" s="4">
        <v>1770.66</v>
      </c>
      <c r="G105" s="4">
        <v>496.6</v>
      </c>
      <c r="H105" s="4">
        <v>6</v>
      </c>
      <c r="I105" s="6">
        <f t="shared" si="2"/>
        <v>0.28046039329967359</v>
      </c>
      <c r="J105" t="str">
        <f t="shared" si="3"/>
        <v>Jun-2025</v>
      </c>
    </row>
    <row r="106" spans="1:10" x14ac:dyDescent="0.3">
      <c r="A106" s="4" t="s">
        <v>216</v>
      </c>
      <c r="B106" s="5" t="s">
        <v>115</v>
      </c>
      <c r="C106" s="4" t="s">
        <v>24</v>
      </c>
      <c r="D106" s="4" t="s">
        <v>11</v>
      </c>
      <c r="E106" s="4" t="s">
        <v>12</v>
      </c>
      <c r="F106" s="4">
        <v>426.44</v>
      </c>
      <c r="G106" s="4">
        <v>85.8</v>
      </c>
      <c r="H106" s="4">
        <v>8</v>
      </c>
      <c r="I106" s="6">
        <f t="shared" si="2"/>
        <v>0.20120063783885189</v>
      </c>
      <c r="J106" t="str">
        <f t="shared" si="3"/>
        <v>Dec-2025</v>
      </c>
    </row>
    <row r="107" spans="1:10" x14ac:dyDescent="0.3">
      <c r="A107" s="4" t="s">
        <v>217</v>
      </c>
      <c r="B107" s="5" t="s">
        <v>163</v>
      </c>
      <c r="C107" s="4" t="s">
        <v>15</v>
      </c>
      <c r="D107" s="4" t="s">
        <v>11</v>
      </c>
      <c r="E107" s="4" t="s">
        <v>12</v>
      </c>
      <c r="F107" s="4">
        <v>2948.75</v>
      </c>
      <c r="G107" s="4">
        <v>384.21</v>
      </c>
      <c r="H107" s="4">
        <v>9</v>
      </c>
      <c r="I107" s="6">
        <f t="shared" si="2"/>
        <v>0.13029588808817294</v>
      </c>
      <c r="J107" t="str">
        <f t="shared" si="3"/>
        <v>Sep-2025</v>
      </c>
    </row>
    <row r="108" spans="1:10" x14ac:dyDescent="0.3">
      <c r="A108" s="4" t="s">
        <v>218</v>
      </c>
      <c r="B108" s="5" t="s">
        <v>219</v>
      </c>
      <c r="C108" s="4" t="s">
        <v>34</v>
      </c>
      <c r="D108" s="4" t="s">
        <v>37</v>
      </c>
      <c r="E108" s="4" t="s">
        <v>17</v>
      </c>
      <c r="F108" s="4">
        <v>3346.66</v>
      </c>
      <c r="G108" s="4">
        <v>435.74</v>
      </c>
      <c r="H108" s="4">
        <v>7</v>
      </c>
      <c r="I108" s="6">
        <f t="shared" si="2"/>
        <v>0.13020145458457089</v>
      </c>
      <c r="J108" t="str">
        <f t="shared" si="3"/>
        <v>Jun-2025</v>
      </c>
    </row>
    <row r="109" spans="1:10" x14ac:dyDescent="0.3">
      <c r="A109" s="4" t="s">
        <v>220</v>
      </c>
      <c r="B109" s="5" t="s">
        <v>221</v>
      </c>
      <c r="C109" s="4" t="s">
        <v>10</v>
      </c>
      <c r="D109" s="4" t="s">
        <v>11</v>
      </c>
      <c r="E109" s="4" t="s">
        <v>12</v>
      </c>
      <c r="F109" s="4">
        <v>2990.08</v>
      </c>
      <c r="G109" s="4">
        <v>590.54999999999995</v>
      </c>
      <c r="H109" s="4">
        <v>4</v>
      </c>
      <c r="I109" s="6">
        <f t="shared" si="2"/>
        <v>0.19750307684075341</v>
      </c>
      <c r="J109" t="str">
        <f t="shared" si="3"/>
        <v>May-2025</v>
      </c>
    </row>
    <row r="110" spans="1:10" x14ac:dyDescent="0.3">
      <c r="A110" s="4" t="s">
        <v>222</v>
      </c>
      <c r="B110" s="5" t="s">
        <v>97</v>
      </c>
      <c r="C110" s="4" t="s">
        <v>10</v>
      </c>
      <c r="D110" s="4" t="s">
        <v>16</v>
      </c>
      <c r="E110" s="4" t="s">
        <v>17</v>
      </c>
      <c r="F110" s="4">
        <v>4118.57</v>
      </c>
      <c r="G110" s="4">
        <v>343.23</v>
      </c>
      <c r="H110" s="4">
        <v>4</v>
      </c>
      <c r="I110" s="6">
        <f t="shared" si="2"/>
        <v>8.3337177709739071E-2</v>
      </c>
      <c r="J110" t="str">
        <f t="shared" si="3"/>
        <v>May-2025</v>
      </c>
    </row>
    <row r="111" spans="1:10" x14ac:dyDescent="0.3">
      <c r="A111" s="4" t="s">
        <v>223</v>
      </c>
      <c r="B111" s="5" t="s">
        <v>224</v>
      </c>
      <c r="C111" s="4" t="s">
        <v>24</v>
      </c>
      <c r="D111" s="4" t="s">
        <v>95</v>
      </c>
      <c r="E111" s="4" t="s">
        <v>17</v>
      </c>
      <c r="F111" s="4">
        <v>3320.2</v>
      </c>
      <c r="G111" s="4">
        <v>988.34</v>
      </c>
      <c r="H111" s="4">
        <v>4</v>
      </c>
      <c r="I111" s="6">
        <f t="shared" si="2"/>
        <v>0.29767483886512863</v>
      </c>
      <c r="J111" t="str">
        <f t="shared" si="3"/>
        <v>Jun-2025</v>
      </c>
    </row>
    <row r="112" spans="1:10" x14ac:dyDescent="0.3">
      <c r="A112" s="4" t="s">
        <v>225</v>
      </c>
      <c r="B112" s="5" t="s">
        <v>226</v>
      </c>
      <c r="C112" s="4" t="s">
        <v>24</v>
      </c>
      <c r="D112" s="4" t="s">
        <v>37</v>
      </c>
      <c r="E112" s="4" t="s">
        <v>17</v>
      </c>
      <c r="F112" s="4">
        <v>3015.58</v>
      </c>
      <c r="G112" s="4">
        <v>663.9</v>
      </c>
      <c r="H112" s="4">
        <v>4</v>
      </c>
      <c r="I112" s="6">
        <f t="shared" si="2"/>
        <v>0.22015665311482369</v>
      </c>
      <c r="J112" t="str">
        <f t="shared" si="3"/>
        <v>Mar-2025</v>
      </c>
    </row>
    <row r="113" spans="1:10" x14ac:dyDescent="0.3">
      <c r="A113" s="4" t="s">
        <v>227</v>
      </c>
      <c r="B113" s="5" t="s">
        <v>103</v>
      </c>
      <c r="C113" s="4" t="s">
        <v>24</v>
      </c>
      <c r="D113" s="4" t="s">
        <v>37</v>
      </c>
      <c r="E113" s="4" t="s">
        <v>17</v>
      </c>
      <c r="F113" s="4">
        <v>2398.79</v>
      </c>
      <c r="G113" s="4">
        <v>658.37</v>
      </c>
      <c r="H113" s="4">
        <v>10</v>
      </c>
      <c r="I113" s="6">
        <f t="shared" si="2"/>
        <v>0.27445920651661881</v>
      </c>
      <c r="J113" t="str">
        <f t="shared" si="3"/>
        <v>Jan-2025</v>
      </c>
    </row>
    <row r="114" spans="1:10" x14ac:dyDescent="0.3">
      <c r="A114" s="4" t="s">
        <v>228</v>
      </c>
      <c r="B114" s="5" t="s">
        <v>189</v>
      </c>
      <c r="C114" s="4" t="s">
        <v>34</v>
      </c>
      <c r="D114" s="4" t="s">
        <v>16</v>
      </c>
      <c r="E114" s="4" t="s">
        <v>17</v>
      </c>
      <c r="F114" s="4">
        <v>3505.24</v>
      </c>
      <c r="G114" s="4">
        <v>596.71</v>
      </c>
      <c r="H114" s="4">
        <v>3</v>
      </c>
      <c r="I114" s="6">
        <f t="shared" si="2"/>
        <v>0.17023370724971759</v>
      </c>
      <c r="J114" t="str">
        <f t="shared" si="3"/>
        <v>Jun-2025</v>
      </c>
    </row>
    <row r="115" spans="1:10" x14ac:dyDescent="0.3">
      <c r="A115" s="4" t="s">
        <v>229</v>
      </c>
      <c r="B115" s="5" t="s">
        <v>43</v>
      </c>
      <c r="C115" s="4" t="s">
        <v>15</v>
      </c>
      <c r="D115" s="4" t="s">
        <v>11</v>
      </c>
      <c r="E115" s="4" t="s">
        <v>12</v>
      </c>
      <c r="F115" s="4">
        <v>1116.1500000000001</v>
      </c>
      <c r="G115" s="4">
        <v>171.42</v>
      </c>
      <c r="H115" s="4">
        <v>7</v>
      </c>
      <c r="I115" s="6">
        <f t="shared" si="2"/>
        <v>0.15358150786184649</v>
      </c>
      <c r="J115" t="str">
        <f t="shared" si="3"/>
        <v>Feb-2025</v>
      </c>
    </row>
    <row r="116" spans="1:10" x14ac:dyDescent="0.3">
      <c r="A116" s="4" t="s">
        <v>230</v>
      </c>
      <c r="B116" s="5" t="s">
        <v>231</v>
      </c>
      <c r="C116" s="4" t="s">
        <v>10</v>
      </c>
      <c r="D116" s="4" t="s">
        <v>20</v>
      </c>
      <c r="E116" s="4" t="s">
        <v>12</v>
      </c>
      <c r="F116" s="4">
        <v>1767.21</v>
      </c>
      <c r="G116" s="4">
        <v>108.92</v>
      </c>
      <c r="H116" s="4">
        <v>8</v>
      </c>
      <c r="I116" s="6">
        <f t="shared" si="2"/>
        <v>6.1633874864900039E-2</v>
      </c>
      <c r="J116" t="str">
        <f t="shared" si="3"/>
        <v>Apr-2025</v>
      </c>
    </row>
    <row r="117" spans="1:10" x14ac:dyDescent="0.3">
      <c r="A117" s="4" t="s">
        <v>232</v>
      </c>
      <c r="B117" s="5" t="s">
        <v>233</v>
      </c>
      <c r="C117" s="4" t="s">
        <v>15</v>
      </c>
      <c r="D117" s="4" t="s">
        <v>37</v>
      </c>
      <c r="E117" s="4" t="s">
        <v>17</v>
      </c>
      <c r="F117" s="4">
        <v>712.47</v>
      </c>
      <c r="G117" s="4">
        <v>198.12</v>
      </c>
      <c r="H117" s="4">
        <v>9</v>
      </c>
      <c r="I117" s="6">
        <f t="shared" si="2"/>
        <v>0.27807486631016043</v>
      </c>
      <c r="J117" t="str">
        <f t="shared" si="3"/>
        <v>Aug-2025</v>
      </c>
    </row>
    <row r="118" spans="1:10" x14ac:dyDescent="0.3">
      <c r="A118" s="4" t="s">
        <v>234</v>
      </c>
      <c r="B118" s="5" t="s">
        <v>235</v>
      </c>
      <c r="C118" s="4" t="s">
        <v>24</v>
      </c>
      <c r="D118" s="4" t="s">
        <v>40</v>
      </c>
      <c r="E118" s="4" t="s">
        <v>41</v>
      </c>
      <c r="F118" s="4">
        <v>980.01</v>
      </c>
      <c r="G118" s="4">
        <v>109.59</v>
      </c>
      <c r="H118" s="4">
        <v>4</v>
      </c>
      <c r="I118" s="6">
        <f t="shared" si="2"/>
        <v>0.11182538953684147</v>
      </c>
      <c r="J118" t="str">
        <f t="shared" si="3"/>
        <v>Sep-2025</v>
      </c>
    </row>
    <row r="119" spans="1:10" x14ac:dyDescent="0.3">
      <c r="A119" s="4" t="s">
        <v>236</v>
      </c>
      <c r="B119" s="5" t="s">
        <v>237</v>
      </c>
      <c r="C119" s="4" t="s">
        <v>34</v>
      </c>
      <c r="D119" s="4" t="s">
        <v>27</v>
      </c>
      <c r="E119" s="4" t="s">
        <v>12</v>
      </c>
      <c r="F119" s="4">
        <v>1410.02</v>
      </c>
      <c r="G119" s="4">
        <v>251.81</v>
      </c>
      <c r="H119" s="4">
        <v>10</v>
      </c>
      <c r="I119" s="6">
        <f t="shared" si="2"/>
        <v>0.17858611934582488</v>
      </c>
      <c r="J119" t="str">
        <f t="shared" si="3"/>
        <v>Sep-2025</v>
      </c>
    </row>
    <row r="120" spans="1:10" x14ac:dyDescent="0.3">
      <c r="A120" s="4" t="s">
        <v>238</v>
      </c>
      <c r="B120" s="5" t="s">
        <v>239</v>
      </c>
      <c r="C120" s="4" t="s">
        <v>24</v>
      </c>
      <c r="D120" s="4" t="s">
        <v>20</v>
      </c>
      <c r="E120" s="4" t="s">
        <v>12</v>
      </c>
      <c r="F120" s="4">
        <v>4497.5200000000004</v>
      </c>
      <c r="G120" s="4">
        <v>592.04</v>
      </c>
      <c r="H120" s="4">
        <v>8</v>
      </c>
      <c r="I120" s="6">
        <f t="shared" si="2"/>
        <v>0.13163699105284687</v>
      </c>
      <c r="J120" t="str">
        <f t="shared" si="3"/>
        <v>Aug-2025</v>
      </c>
    </row>
    <row r="121" spans="1:10" x14ac:dyDescent="0.3">
      <c r="A121" s="4" t="s">
        <v>240</v>
      </c>
      <c r="B121" s="5" t="s">
        <v>241</v>
      </c>
      <c r="C121" s="4" t="s">
        <v>34</v>
      </c>
      <c r="D121" s="4" t="s">
        <v>46</v>
      </c>
      <c r="E121" s="4" t="s">
        <v>41</v>
      </c>
      <c r="F121" s="4">
        <v>1873.74</v>
      </c>
      <c r="G121" s="4">
        <v>226.41</v>
      </c>
      <c r="H121" s="4">
        <v>1</v>
      </c>
      <c r="I121" s="6">
        <f t="shared" si="2"/>
        <v>0.12083319991033975</v>
      </c>
      <c r="J121" t="str">
        <f t="shared" si="3"/>
        <v>Mar-2025</v>
      </c>
    </row>
    <row r="122" spans="1:10" x14ac:dyDescent="0.3">
      <c r="A122" s="4" t="s">
        <v>242</v>
      </c>
      <c r="B122" s="5" t="s">
        <v>99</v>
      </c>
      <c r="C122" s="4" t="s">
        <v>24</v>
      </c>
      <c r="D122" s="4" t="s">
        <v>95</v>
      </c>
      <c r="E122" s="4" t="s">
        <v>17</v>
      </c>
      <c r="F122" s="4">
        <v>919.79</v>
      </c>
      <c r="G122" s="4">
        <v>146.24</v>
      </c>
      <c r="H122" s="4">
        <v>7</v>
      </c>
      <c r="I122" s="6">
        <f t="shared" si="2"/>
        <v>0.15899281357701217</v>
      </c>
      <c r="J122" t="str">
        <f t="shared" si="3"/>
        <v>Aug-2025</v>
      </c>
    </row>
    <row r="123" spans="1:10" x14ac:dyDescent="0.3">
      <c r="A123" s="4" t="s">
        <v>243</v>
      </c>
      <c r="B123" s="5" t="s">
        <v>244</v>
      </c>
      <c r="C123" s="4" t="s">
        <v>24</v>
      </c>
      <c r="D123" s="4" t="s">
        <v>20</v>
      </c>
      <c r="E123" s="4" t="s">
        <v>12</v>
      </c>
      <c r="F123" s="4">
        <v>3585.61</v>
      </c>
      <c r="G123" s="4">
        <v>1041.08</v>
      </c>
      <c r="H123" s="4">
        <v>3</v>
      </c>
      <c r="I123" s="6">
        <f t="shared" si="2"/>
        <v>0.29034948028368951</v>
      </c>
      <c r="J123" t="str">
        <f t="shared" si="3"/>
        <v>Oct-2025</v>
      </c>
    </row>
    <row r="124" spans="1:10" x14ac:dyDescent="0.3">
      <c r="A124" s="4" t="s">
        <v>245</v>
      </c>
      <c r="B124" s="5" t="s">
        <v>246</v>
      </c>
      <c r="C124" s="4" t="s">
        <v>24</v>
      </c>
      <c r="D124" s="4" t="s">
        <v>27</v>
      </c>
      <c r="E124" s="4" t="s">
        <v>12</v>
      </c>
      <c r="F124" s="4">
        <v>1024.31</v>
      </c>
      <c r="G124" s="4">
        <v>211.53</v>
      </c>
      <c r="H124" s="4">
        <v>1</v>
      </c>
      <c r="I124" s="6">
        <f t="shared" si="2"/>
        <v>0.2065097480255001</v>
      </c>
      <c r="J124" t="str">
        <f t="shared" si="3"/>
        <v>Jan-2025</v>
      </c>
    </row>
    <row r="125" spans="1:10" x14ac:dyDescent="0.3">
      <c r="A125" s="4" t="s">
        <v>247</v>
      </c>
      <c r="B125" s="5" t="s">
        <v>248</v>
      </c>
      <c r="C125" s="4" t="s">
        <v>34</v>
      </c>
      <c r="D125" s="4" t="s">
        <v>40</v>
      </c>
      <c r="E125" s="4" t="s">
        <v>41</v>
      </c>
      <c r="F125" s="4">
        <v>2507.67</v>
      </c>
      <c r="G125" s="4">
        <v>132.84</v>
      </c>
      <c r="H125" s="4">
        <v>9</v>
      </c>
      <c r="I125" s="6">
        <f t="shared" si="2"/>
        <v>5.2973477371424472E-2</v>
      </c>
      <c r="J125" t="str">
        <f t="shared" si="3"/>
        <v>Jul-2025</v>
      </c>
    </row>
    <row r="126" spans="1:10" x14ac:dyDescent="0.3">
      <c r="A126" s="4" t="s">
        <v>249</v>
      </c>
      <c r="B126" s="5" t="s">
        <v>147</v>
      </c>
      <c r="C126" s="4" t="s">
        <v>24</v>
      </c>
      <c r="D126" s="4" t="s">
        <v>16</v>
      </c>
      <c r="E126" s="4" t="s">
        <v>17</v>
      </c>
      <c r="F126" s="4">
        <v>2656.83</v>
      </c>
      <c r="G126" s="4">
        <v>533.03</v>
      </c>
      <c r="H126" s="4">
        <v>5</v>
      </c>
      <c r="I126" s="6">
        <f t="shared" si="2"/>
        <v>0.20062631030212696</v>
      </c>
      <c r="J126" t="str">
        <f t="shared" si="3"/>
        <v>Dec-2025</v>
      </c>
    </row>
    <row r="127" spans="1:10" x14ac:dyDescent="0.3">
      <c r="A127" s="4" t="s">
        <v>250</v>
      </c>
      <c r="B127" s="5" t="s">
        <v>149</v>
      </c>
      <c r="C127" s="4" t="s">
        <v>24</v>
      </c>
      <c r="D127" s="4" t="s">
        <v>95</v>
      </c>
      <c r="E127" s="4" t="s">
        <v>17</v>
      </c>
      <c r="F127" s="4">
        <v>4043.34</v>
      </c>
      <c r="G127" s="4">
        <v>813.61</v>
      </c>
      <c r="H127" s="4">
        <v>7</v>
      </c>
      <c r="I127" s="6">
        <f t="shared" si="2"/>
        <v>0.20122225684706208</v>
      </c>
      <c r="J127" t="str">
        <f t="shared" si="3"/>
        <v>Apr-2025</v>
      </c>
    </row>
    <row r="128" spans="1:10" x14ac:dyDescent="0.3">
      <c r="A128" s="4" t="s">
        <v>251</v>
      </c>
      <c r="B128" s="5" t="s">
        <v>252</v>
      </c>
      <c r="C128" s="4" t="s">
        <v>15</v>
      </c>
      <c r="D128" s="4" t="s">
        <v>46</v>
      </c>
      <c r="E128" s="4" t="s">
        <v>41</v>
      </c>
      <c r="F128" s="4">
        <v>4286.43</v>
      </c>
      <c r="G128" s="4">
        <v>1000.72</v>
      </c>
      <c r="H128" s="4">
        <v>4</v>
      </c>
      <c r="I128" s="6">
        <f t="shared" si="2"/>
        <v>0.233462345121698</v>
      </c>
      <c r="J128" t="str">
        <f t="shared" si="3"/>
        <v>Feb-2025</v>
      </c>
    </row>
    <row r="129" spans="1:10" x14ac:dyDescent="0.3">
      <c r="A129" s="4" t="s">
        <v>253</v>
      </c>
      <c r="B129" s="5" t="s">
        <v>254</v>
      </c>
      <c r="C129" s="4" t="s">
        <v>15</v>
      </c>
      <c r="D129" s="4" t="s">
        <v>20</v>
      </c>
      <c r="E129" s="4" t="s">
        <v>12</v>
      </c>
      <c r="F129" s="4">
        <v>4292.5600000000004</v>
      </c>
      <c r="G129" s="4">
        <v>480.91</v>
      </c>
      <c r="H129" s="4">
        <v>7</v>
      </c>
      <c r="I129" s="6">
        <f t="shared" si="2"/>
        <v>0.11203337868311683</v>
      </c>
      <c r="J129" t="str">
        <f t="shared" si="3"/>
        <v>May-2025</v>
      </c>
    </row>
    <row r="130" spans="1:10" x14ac:dyDescent="0.3">
      <c r="A130" s="4" t="s">
        <v>255</v>
      </c>
      <c r="B130" s="5" t="s">
        <v>256</v>
      </c>
      <c r="C130" s="4" t="s">
        <v>10</v>
      </c>
      <c r="D130" s="4" t="s">
        <v>16</v>
      </c>
      <c r="E130" s="4" t="s">
        <v>17</v>
      </c>
      <c r="F130" s="4">
        <v>2484.91</v>
      </c>
      <c r="G130" s="4">
        <v>150.72999999999999</v>
      </c>
      <c r="H130" s="4">
        <v>8</v>
      </c>
      <c r="I130" s="6">
        <f t="shared" si="2"/>
        <v>6.0658132487695728E-2</v>
      </c>
      <c r="J130" t="str">
        <f t="shared" si="3"/>
        <v>Sep-2025</v>
      </c>
    </row>
    <row r="131" spans="1:10" x14ac:dyDescent="0.3">
      <c r="A131" s="4" t="s">
        <v>257</v>
      </c>
      <c r="B131" s="5" t="s">
        <v>258</v>
      </c>
      <c r="C131" s="4" t="s">
        <v>15</v>
      </c>
      <c r="D131" s="4" t="s">
        <v>16</v>
      </c>
      <c r="E131" s="4" t="s">
        <v>17</v>
      </c>
      <c r="F131" s="4">
        <v>297.67</v>
      </c>
      <c r="G131" s="4">
        <v>66.53</v>
      </c>
      <c r="H131" s="4">
        <v>5</v>
      </c>
      <c r="I131" s="6">
        <f t="shared" ref="I131:I194" si="4">G131/F131</f>
        <v>0.22350253636577416</v>
      </c>
      <c r="J131" t="str">
        <f t="shared" ref="J131:J194" si="5">TEXT(B131,"mmm-yyyy")</f>
        <v>Jul-2025</v>
      </c>
    </row>
    <row r="132" spans="1:10" x14ac:dyDescent="0.3">
      <c r="A132" s="4" t="s">
        <v>259</v>
      </c>
      <c r="B132" s="5" t="s">
        <v>260</v>
      </c>
      <c r="C132" s="4" t="s">
        <v>10</v>
      </c>
      <c r="D132" s="4" t="s">
        <v>20</v>
      </c>
      <c r="E132" s="4" t="s">
        <v>12</v>
      </c>
      <c r="F132" s="4">
        <v>2817.68</v>
      </c>
      <c r="G132" s="4">
        <v>838.18</v>
      </c>
      <c r="H132" s="4">
        <v>9</v>
      </c>
      <c r="I132" s="6">
        <f t="shared" si="4"/>
        <v>0.29747167882797193</v>
      </c>
      <c r="J132" t="str">
        <f t="shared" si="5"/>
        <v>Oct-2025</v>
      </c>
    </row>
    <row r="133" spans="1:10" x14ac:dyDescent="0.3">
      <c r="A133" s="4" t="s">
        <v>261</v>
      </c>
      <c r="B133" s="5" t="s">
        <v>262</v>
      </c>
      <c r="C133" s="4" t="s">
        <v>15</v>
      </c>
      <c r="D133" s="4" t="s">
        <v>46</v>
      </c>
      <c r="E133" s="4" t="s">
        <v>41</v>
      </c>
      <c r="F133" s="4">
        <v>3727.71</v>
      </c>
      <c r="G133" s="4">
        <v>477.8</v>
      </c>
      <c r="H133" s="4">
        <v>5</v>
      </c>
      <c r="I133" s="6">
        <f t="shared" si="4"/>
        <v>0.1281752067623286</v>
      </c>
      <c r="J133" t="str">
        <f t="shared" si="5"/>
        <v>Jul-2025</v>
      </c>
    </row>
    <row r="134" spans="1:10" x14ac:dyDescent="0.3">
      <c r="A134" s="4" t="s">
        <v>263</v>
      </c>
      <c r="B134" s="5" t="s">
        <v>264</v>
      </c>
      <c r="C134" s="4" t="s">
        <v>15</v>
      </c>
      <c r="D134" s="4" t="s">
        <v>27</v>
      </c>
      <c r="E134" s="4" t="s">
        <v>12</v>
      </c>
      <c r="F134" s="4">
        <v>3012.81</v>
      </c>
      <c r="G134" s="4">
        <v>272.61</v>
      </c>
      <c r="H134" s="4">
        <v>2</v>
      </c>
      <c r="I134" s="6">
        <f t="shared" si="4"/>
        <v>9.0483634879066396E-2</v>
      </c>
      <c r="J134" t="str">
        <f t="shared" si="5"/>
        <v>Jun-2025</v>
      </c>
    </row>
    <row r="135" spans="1:10" x14ac:dyDescent="0.3">
      <c r="A135" s="4" t="s">
        <v>265</v>
      </c>
      <c r="B135" s="5" t="s">
        <v>125</v>
      </c>
      <c r="C135" s="4" t="s">
        <v>10</v>
      </c>
      <c r="D135" s="4" t="s">
        <v>11</v>
      </c>
      <c r="E135" s="4" t="s">
        <v>12</v>
      </c>
      <c r="F135" s="4">
        <v>2993.43</v>
      </c>
      <c r="G135" s="4">
        <v>223.04</v>
      </c>
      <c r="H135" s="4">
        <v>3</v>
      </c>
      <c r="I135" s="6">
        <f t="shared" si="4"/>
        <v>7.4509843223325753E-2</v>
      </c>
      <c r="J135" t="str">
        <f t="shared" si="5"/>
        <v>Mar-2025</v>
      </c>
    </row>
    <row r="136" spans="1:10" x14ac:dyDescent="0.3">
      <c r="A136" s="4" t="s">
        <v>266</v>
      </c>
      <c r="B136" s="5" t="s">
        <v>267</v>
      </c>
      <c r="C136" s="4" t="s">
        <v>15</v>
      </c>
      <c r="D136" s="4" t="s">
        <v>95</v>
      </c>
      <c r="E136" s="4" t="s">
        <v>17</v>
      </c>
      <c r="F136" s="4">
        <v>1872.53</v>
      </c>
      <c r="G136" s="4">
        <v>229.3</v>
      </c>
      <c r="H136" s="4">
        <v>9</v>
      </c>
      <c r="I136" s="6">
        <f t="shared" si="4"/>
        <v>0.12245464692154466</v>
      </c>
      <c r="J136" t="str">
        <f t="shared" si="5"/>
        <v>Jan-2025</v>
      </c>
    </row>
    <row r="137" spans="1:10" x14ac:dyDescent="0.3">
      <c r="A137" s="4" t="s">
        <v>268</v>
      </c>
      <c r="B137" s="5" t="s">
        <v>269</v>
      </c>
      <c r="C137" s="4" t="s">
        <v>34</v>
      </c>
      <c r="D137" s="4" t="s">
        <v>27</v>
      </c>
      <c r="E137" s="4" t="s">
        <v>12</v>
      </c>
      <c r="F137" s="4">
        <v>4232.2299999999996</v>
      </c>
      <c r="G137" s="4">
        <v>1066.6400000000001</v>
      </c>
      <c r="H137" s="4">
        <v>7</v>
      </c>
      <c r="I137" s="6">
        <f t="shared" si="4"/>
        <v>0.25202789073372672</v>
      </c>
      <c r="J137" t="str">
        <f t="shared" si="5"/>
        <v>Jun-2025</v>
      </c>
    </row>
    <row r="138" spans="1:10" x14ac:dyDescent="0.3">
      <c r="A138" s="4" t="s">
        <v>270</v>
      </c>
      <c r="B138" s="5" t="s">
        <v>138</v>
      </c>
      <c r="C138" s="4" t="s">
        <v>24</v>
      </c>
      <c r="D138" s="4" t="s">
        <v>40</v>
      </c>
      <c r="E138" s="4" t="s">
        <v>41</v>
      </c>
      <c r="F138" s="4">
        <v>2849.89</v>
      </c>
      <c r="G138" s="4">
        <v>973.97</v>
      </c>
      <c r="H138" s="4">
        <v>2</v>
      </c>
      <c r="I138" s="6">
        <f t="shared" si="4"/>
        <v>0.34175705027211578</v>
      </c>
      <c r="J138" t="str">
        <f t="shared" si="5"/>
        <v>May-2025</v>
      </c>
    </row>
    <row r="139" spans="1:10" x14ac:dyDescent="0.3">
      <c r="A139" s="4" t="s">
        <v>271</v>
      </c>
      <c r="B139" s="5" t="s">
        <v>272</v>
      </c>
      <c r="C139" s="4" t="s">
        <v>34</v>
      </c>
      <c r="D139" s="4" t="s">
        <v>27</v>
      </c>
      <c r="E139" s="4" t="s">
        <v>12</v>
      </c>
      <c r="F139" s="4">
        <v>948.6</v>
      </c>
      <c r="G139" s="4">
        <v>98.88</v>
      </c>
      <c r="H139" s="4">
        <v>5</v>
      </c>
      <c r="I139" s="6">
        <f t="shared" si="4"/>
        <v>0.10423782416192283</v>
      </c>
      <c r="J139" t="str">
        <f t="shared" si="5"/>
        <v>Dec-2025</v>
      </c>
    </row>
    <row r="140" spans="1:10" x14ac:dyDescent="0.3">
      <c r="A140" s="4" t="s">
        <v>273</v>
      </c>
      <c r="B140" s="5" t="s">
        <v>274</v>
      </c>
      <c r="C140" s="4" t="s">
        <v>10</v>
      </c>
      <c r="D140" s="4" t="s">
        <v>20</v>
      </c>
      <c r="E140" s="4" t="s">
        <v>12</v>
      </c>
      <c r="F140" s="4">
        <v>4089.8</v>
      </c>
      <c r="G140" s="4">
        <v>598.57000000000005</v>
      </c>
      <c r="H140" s="4">
        <v>1</v>
      </c>
      <c r="I140" s="6">
        <f t="shared" si="4"/>
        <v>0.14635679006308377</v>
      </c>
      <c r="J140" t="str">
        <f t="shared" si="5"/>
        <v>Dec-2025</v>
      </c>
    </row>
    <row r="141" spans="1:10" x14ac:dyDescent="0.3">
      <c r="A141" s="4" t="s">
        <v>275</v>
      </c>
      <c r="B141" s="5" t="s">
        <v>276</v>
      </c>
      <c r="C141" s="4" t="s">
        <v>24</v>
      </c>
      <c r="D141" s="4" t="s">
        <v>46</v>
      </c>
      <c r="E141" s="4" t="s">
        <v>41</v>
      </c>
      <c r="F141" s="4">
        <v>3069.38</v>
      </c>
      <c r="G141" s="4">
        <v>294.51</v>
      </c>
      <c r="H141" s="4">
        <v>2</v>
      </c>
      <c r="I141" s="6">
        <f t="shared" si="4"/>
        <v>9.5950973812300847E-2</v>
      </c>
      <c r="J141" t="str">
        <f t="shared" si="5"/>
        <v>Aug-2025</v>
      </c>
    </row>
    <row r="142" spans="1:10" x14ac:dyDescent="0.3">
      <c r="A142" s="4" t="s">
        <v>277</v>
      </c>
      <c r="B142" s="5" t="s">
        <v>278</v>
      </c>
      <c r="C142" s="4" t="s">
        <v>34</v>
      </c>
      <c r="D142" s="4" t="s">
        <v>46</v>
      </c>
      <c r="E142" s="4" t="s">
        <v>41</v>
      </c>
      <c r="F142" s="4">
        <v>864.74</v>
      </c>
      <c r="G142" s="4">
        <v>102.74</v>
      </c>
      <c r="H142" s="4">
        <v>6</v>
      </c>
      <c r="I142" s="6">
        <f t="shared" si="4"/>
        <v>0.11881027823392001</v>
      </c>
      <c r="J142" t="str">
        <f t="shared" si="5"/>
        <v>May-2025</v>
      </c>
    </row>
    <row r="143" spans="1:10" x14ac:dyDescent="0.3">
      <c r="A143" s="4" t="s">
        <v>279</v>
      </c>
      <c r="B143" s="5" t="s">
        <v>280</v>
      </c>
      <c r="C143" s="4" t="s">
        <v>24</v>
      </c>
      <c r="D143" s="4" t="s">
        <v>27</v>
      </c>
      <c r="E143" s="4" t="s">
        <v>12</v>
      </c>
      <c r="F143" s="4">
        <v>4732.87</v>
      </c>
      <c r="G143" s="4">
        <v>882.64</v>
      </c>
      <c r="H143" s="4">
        <v>4</v>
      </c>
      <c r="I143" s="6">
        <f t="shared" si="4"/>
        <v>0.18649149458996339</v>
      </c>
      <c r="J143" t="str">
        <f t="shared" si="5"/>
        <v>Sep-2025</v>
      </c>
    </row>
    <row r="144" spans="1:10" x14ac:dyDescent="0.3">
      <c r="A144" s="4" t="s">
        <v>281</v>
      </c>
      <c r="B144" s="5" t="s">
        <v>31</v>
      </c>
      <c r="C144" s="4" t="s">
        <v>24</v>
      </c>
      <c r="D144" s="4" t="s">
        <v>20</v>
      </c>
      <c r="E144" s="4" t="s">
        <v>12</v>
      </c>
      <c r="F144" s="4">
        <v>2592.7800000000002</v>
      </c>
      <c r="G144" s="4">
        <v>543.22</v>
      </c>
      <c r="H144" s="4">
        <v>10</v>
      </c>
      <c r="I144" s="6">
        <f t="shared" si="4"/>
        <v>0.20951256951997468</v>
      </c>
      <c r="J144" t="str">
        <f t="shared" si="5"/>
        <v>Nov-2025</v>
      </c>
    </row>
    <row r="145" spans="1:10" x14ac:dyDescent="0.3">
      <c r="A145" s="4" t="s">
        <v>282</v>
      </c>
      <c r="B145" s="5" t="s">
        <v>283</v>
      </c>
      <c r="C145" s="4" t="s">
        <v>10</v>
      </c>
      <c r="D145" s="4" t="s">
        <v>37</v>
      </c>
      <c r="E145" s="4" t="s">
        <v>17</v>
      </c>
      <c r="F145" s="4">
        <v>1786.87</v>
      </c>
      <c r="G145" s="4">
        <v>155.78</v>
      </c>
      <c r="H145" s="4">
        <v>6</v>
      </c>
      <c r="I145" s="6">
        <f t="shared" si="4"/>
        <v>8.7180376860096151E-2</v>
      </c>
      <c r="J145" t="str">
        <f t="shared" si="5"/>
        <v>Dec-2025</v>
      </c>
    </row>
    <row r="146" spans="1:10" x14ac:dyDescent="0.3">
      <c r="A146" s="4" t="s">
        <v>284</v>
      </c>
      <c r="B146" s="5" t="s">
        <v>177</v>
      </c>
      <c r="C146" s="4" t="s">
        <v>10</v>
      </c>
      <c r="D146" s="4" t="s">
        <v>20</v>
      </c>
      <c r="E146" s="4" t="s">
        <v>12</v>
      </c>
      <c r="F146" s="4">
        <v>1281.23</v>
      </c>
      <c r="G146" s="4">
        <v>295.43</v>
      </c>
      <c r="H146" s="4">
        <v>9</v>
      </c>
      <c r="I146" s="6">
        <f t="shared" si="4"/>
        <v>0.23058311154125333</v>
      </c>
      <c r="J146" t="str">
        <f t="shared" si="5"/>
        <v>Jun-2025</v>
      </c>
    </row>
    <row r="147" spans="1:10" x14ac:dyDescent="0.3">
      <c r="A147" s="4" t="s">
        <v>285</v>
      </c>
      <c r="B147" s="5" t="s">
        <v>177</v>
      </c>
      <c r="C147" s="4" t="s">
        <v>34</v>
      </c>
      <c r="D147" s="4" t="s">
        <v>20</v>
      </c>
      <c r="E147" s="4" t="s">
        <v>12</v>
      </c>
      <c r="F147" s="4">
        <v>1175.6400000000001</v>
      </c>
      <c r="G147" s="4">
        <v>60.94</v>
      </c>
      <c r="H147" s="4">
        <v>10</v>
      </c>
      <c r="I147" s="6">
        <f t="shared" si="4"/>
        <v>5.1835595930727084E-2</v>
      </c>
      <c r="J147" t="str">
        <f t="shared" si="5"/>
        <v>Jun-2025</v>
      </c>
    </row>
    <row r="148" spans="1:10" x14ac:dyDescent="0.3">
      <c r="A148" s="4" t="s">
        <v>286</v>
      </c>
      <c r="B148" s="5" t="s">
        <v>287</v>
      </c>
      <c r="C148" s="4" t="s">
        <v>10</v>
      </c>
      <c r="D148" s="4" t="s">
        <v>37</v>
      </c>
      <c r="E148" s="4" t="s">
        <v>17</v>
      </c>
      <c r="F148" s="4">
        <v>2939.37</v>
      </c>
      <c r="G148" s="4">
        <v>861.49</v>
      </c>
      <c r="H148" s="4">
        <v>9</v>
      </c>
      <c r="I148" s="6">
        <f t="shared" si="4"/>
        <v>0.29308661379819484</v>
      </c>
      <c r="J148" t="str">
        <f t="shared" si="5"/>
        <v>Jun-2025</v>
      </c>
    </row>
    <row r="149" spans="1:10" x14ac:dyDescent="0.3">
      <c r="A149" s="4" t="s">
        <v>288</v>
      </c>
      <c r="B149" s="5" t="s">
        <v>289</v>
      </c>
      <c r="C149" s="4" t="s">
        <v>24</v>
      </c>
      <c r="D149" s="4" t="s">
        <v>95</v>
      </c>
      <c r="E149" s="4" t="s">
        <v>17</v>
      </c>
      <c r="F149" s="4">
        <v>2128.2199999999998</v>
      </c>
      <c r="G149" s="4">
        <v>376.39</v>
      </c>
      <c r="H149" s="4">
        <v>3</v>
      </c>
      <c r="I149" s="6">
        <f t="shared" si="4"/>
        <v>0.17685671594102115</v>
      </c>
      <c r="J149" t="str">
        <f t="shared" si="5"/>
        <v>Jul-2025</v>
      </c>
    </row>
    <row r="150" spans="1:10" x14ac:dyDescent="0.3">
      <c r="A150" s="4" t="s">
        <v>290</v>
      </c>
      <c r="B150" s="5" t="s">
        <v>291</v>
      </c>
      <c r="C150" s="4" t="s">
        <v>24</v>
      </c>
      <c r="D150" s="4" t="s">
        <v>40</v>
      </c>
      <c r="E150" s="4" t="s">
        <v>41</v>
      </c>
      <c r="F150" s="4">
        <v>4740.92</v>
      </c>
      <c r="G150" s="4">
        <v>1318.11</v>
      </c>
      <c r="H150" s="4">
        <v>10</v>
      </c>
      <c r="I150" s="6">
        <f t="shared" si="4"/>
        <v>0.27802831517933224</v>
      </c>
      <c r="J150" t="str">
        <f t="shared" si="5"/>
        <v>Nov-2025</v>
      </c>
    </row>
    <row r="151" spans="1:10" x14ac:dyDescent="0.3">
      <c r="A151" s="4" t="s">
        <v>292</v>
      </c>
      <c r="B151" s="5" t="s">
        <v>293</v>
      </c>
      <c r="C151" s="4" t="s">
        <v>15</v>
      </c>
      <c r="D151" s="4" t="s">
        <v>20</v>
      </c>
      <c r="E151" s="4" t="s">
        <v>12</v>
      </c>
      <c r="F151" s="4">
        <v>338.41</v>
      </c>
      <c r="G151" s="4">
        <v>29.19</v>
      </c>
      <c r="H151" s="4">
        <v>10</v>
      </c>
      <c r="I151" s="6">
        <f t="shared" si="4"/>
        <v>8.6256316302709732E-2</v>
      </c>
      <c r="J151" t="str">
        <f t="shared" si="5"/>
        <v>Mar-2025</v>
      </c>
    </row>
    <row r="152" spans="1:10" x14ac:dyDescent="0.3">
      <c r="A152" s="4" t="s">
        <v>294</v>
      </c>
      <c r="B152" s="5" t="s">
        <v>295</v>
      </c>
      <c r="C152" s="4" t="s">
        <v>34</v>
      </c>
      <c r="D152" s="4" t="s">
        <v>95</v>
      </c>
      <c r="E152" s="4" t="s">
        <v>17</v>
      </c>
      <c r="F152" s="4">
        <v>4828.93</v>
      </c>
      <c r="G152" s="4">
        <v>1420.31</v>
      </c>
      <c r="H152" s="4">
        <v>7</v>
      </c>
      <c r="I152" s="6">
        <f t="shared" si="4"/>
        <v>0.29412519957837446</v>
      </c>
      <c r="J152" t="str">
        <f t="shared" si="5"/>
        <v>Nov-2025</v>
      </c>
    </row>
    <row r="153" spans="1:10" x14ac:dyDescent="0.3">
      <c r="A153" s="4" t="s">
        <v>296</v>
      </c>
      <c r="B153" s="5" t="s">
        <v>297</v>
      </c>
      <c r="C153" s="4" t="s">
        <v>24</v>
      </c>
      <c r="D153" s="4" t="s">
        <v>27</v>
      </c>
      <c r="E153" s="4" t="s">
        <v>12</v>
      </c>
      <c r="F153" s="4">
        <v>2815.75</v>
      </c>
      <c r="G153" s="4">
        <v>469.32</v>
      </c>
      <c r="H153" s="4">
        <v>7</v>
      </c>
      <c r="I153" s="6">
        <f t="shared" si="4"/>
        <v>0.16667672911302495</v>
      </c>
      <c r="J153" t="str">
        <f t="shared" si="5"/>
        <v>Jul-2025</v>
      </c>
    </row>
    <row r="154" spans="1:10" x14ac:dyDescent="0.3">
      <c r="A154" s="4" t="s">
        <v>298</v>
      </c>
      <c r="B154" s="5" t="s">
        <v>299</v>
      </c>
      <c r="C154" s="4" t="s">
        <v>15</v>
      </c>
      <c r="D154" s="4" t="s">
        <v>16</v>
      </c>
      <c r="E154" s="4" t="s">
        <v>17</v>
      </c>
      <c r="F154" s="4">
        <v>2629.39</v>
      </c>
      <c r="G154" s="4">
        <v>654.53</v>
      </c>
      <c r="H154" s="4">
        <v>4</v>
      </c>
      <c r="I154" s="6">
        <f t="shared" si="4"/>
        <v>0.24892845869193997</v>
      </c>
      <c r="J154" t="str">
        <f t="shared" si="5"/>
        <v>Nov-2025</v>
      </c>
    </row>
    <row r="155" spans="1:10" x14ac:dyDescent="0.3">
      <c r="A155" s="4" t="s">
        <v>300</v>
      </c>
      <c r="B155" s="5" t="s">
        <v>301</v>
      </c>
      <c r="C155" s="4" t="s">
        <v>15</v>
      </c>
      <c r="D155" s="4" t="s">
        <v>27</v>
      </c>
      <c r="E155" s="4" t="s">
        <v>12</v>
      </c>
      <c r="F155" s="4">
        <v>1561.31</v>
      </c>
      <c r="G155" s="4">
        <v>100.77</v>
      </c>
      <c r="H155" s="4">
        <v>7</v>
      </c>
      <c r="I155" s="6">
        <f t="shared" si="4"/>
        <v>6.4541955153044561E-2</v>
      </c>
      <c r="J155" t="str">
        <f t="shared" si="5"/>
        <v>Sep-2025</v>
      </c>
    </row>
    <row r="156" spans="1:10" x14ac:dyDescent="0.3">
      <c r="A156" s="4" t="s">
        <v>302</v>
      </c>
      <c r="B156" s="5" t="s">
        <v>14</v>
      </c>
      <c r="C156" s="4" t="s">
        <v>34</v>
      </c>
      <c r="D156" s="4" t="s">
        <v>95</v>
      </c>
      <c r="E156" s="4" t="s">
        <v>17</v>
      </c>
      <c r="F156" s="4">
        <v>2909.15</v>
      </c>
      <c r="G156" s="4">
        <v>812.21</v>
      </c>
      <c r="H156" s="4">
        <v>6</v>
      </c>
      <c r="I156" s="6">
        <f t="shared" si="4"/>
        <v>0.27919151642232265</v>
      </c>
      <c r="J156" t="str">
        <f t="shared" si="5"/>
        <v>Jun-2025</v>
      </c>
    </row>
    <row r="157" spans="1:10" x14ac:dyDescent="0.3">
      <c r="A157" s="4" t="s">
        <v>303</v>
      </c>
      <c r="B157" s="5" t="s">
        <v>304</v>
      </c>
      <c r="C157" s="4" t="s">
        <v>10</v>
      </c>
      <c r="D157" s="4" t="s">
        <v>11</v>
      </c>
      <c r="E157" s="4" t="s">
        <v>12</v>
      </c>
      <c r="F157" s="4">
        <v>2692.32</v>
      </c>
      <c r="G157" s="4">
        <v>551.77</v>
      </c>
      <c r="H157" s="4">
        <v>8</v>
      </c>
      <c r="I157" s="6">
        <f t="shared" si="4"/>
        <v>0.20494220597848695</v>
      </c>
      <c r="J157" t="str">
        <f t="shared" si="5"/>
        <v>Jul-2025</v>
      </c>
    </row>
    <row r="158" spans="1:10" x14ac:dyDescent="0.3">
      <c r="A158" s="4" t="s">
        <v>305</v>
      </c>
      <c r="B158" s="5" t="s">
        <v>306</v>
      </c>
      <c r="C158" s="4" t="s">
        <v>24</v>
      </c>
      <c r="D158" s="4" t="s">
        <v>37</v>
      </c>
      <c r="E158" s="4" t="s">
        <v>17</v>
      </c>
      <c r="F158" s="4">
        <v>1980.48</v>
      </c>
      <c r="G158" s="4">
        <v>428.35</v>
      </c>
      <c r="H158" s="4">
        <v>1</v>
      </c>
      <c r="I158" s="6">
        <f t="shared" si="4"/>
        <v>0.2162859508805946</v>
      </c>
      <c r="J158" t="str">
        <f t="shared" si="5"/>
        <v>Oct-2025</v>
      </c>
    </row>
    <row r="159" spans="1:10" x14ac:dyDescent="0.3">
      <c r="A159" s="4" t="s">
        <v>307</v>
      </c>
      <c r="B159" s="5" t="s">
        <v>308</v>
      </c>
      <c r="C159" s="4" t="s">
        <v>24</v>
      </c>
      <c r="D159" s="4" t="s">
        <v>11</v>
      </c>
      <c r="E159" s="4" t="s">
        <v>12</v>
      </c>
      <c r="F159" s="4">
        <v>1741.05</v>
      </c>
      <c r="G159" s="4">
        <v>453.01</v>
      </c>
      <c r="H159" s="4">
        <v>7</v>
      </c>
      <c r="I159" s="6">
        <f t="shared" si="4"/>
        <v>0.26019356135665261</v>
      </c>
      <c r="J159" t="str">
        <f t="shared" si="5"/>
        <v>Feb-2025</v>
      </c>
    </row>
    <row r="160" spans="1:10" x14ac:dyDescent="0.3">
      <c r="A160" s="4" t="s">
        <v>309</v>
      </c>
      <c r="B160" s="5" t="s">
        <v>310</v>
      </c>
      <c r="C160" s="4" t="s">
        <v>15</v>
      </c>
      <c r="D160" s="4" t="s">
        <v>46</v>
      </c>
      <c r="E160" s="4" t="s">
        <v>41</v>
      </c>
      <c r="F160" s="4">
        <v>3646.58</v>
      </c>
      <c r="G160" s="4">
        <v>1128.48</v>
      </c>
      <c r="H160" s="4">
        <v>3</v>
      </c>
      <c r="I160" s="6">
        <f t="shared" si="4"/>
        <v>0.30946256492384644</v>
      </c>
      <c r="J160" t="str">
        <f t="shared" si="5"/>
        <v>Apr-2025</v>
      </c>
    </row>
    <row r="161" spans="1:10" x14ac:dyDescent="0.3">
      <c r="A161" s="4" t="s">
        <v>311</v>
      </c>
      <c r="B161" s="5" t="s">
        <v>147</v>
      </c>
      <c r="C161" s="4" t="s">
        <v>10</v>
      </c>
      <c r="D161" s="4" t="s">
        <v>46</v>
      </c>
      <c r="E161" s="4" t="s">
        <v>41</v>
      </c>
      <c r="F161" s="4">
        <v>4836.96</v>
      </c>
      <c r="G161" s="4">
        <v>1377.79</v>
      </c>
      <c r="H161" s="4">
        <v>6</v>
      </c>
      <c r="I161" s="6">
        <f t="shared" si="4"/>
        <v>0.28484626707684163</v>
      </c>
      <c r="J161" t="str">
        <f t="shared" si="5"/>
        <v>Dec-2025</v>
      </c>
    </row>
    <row r="162" spans="1:10" x14ac:dyDescent="0.3">
      <c r="A162" s="4" t="s">
        <v>312</v>
      </c>
      <c r="B162" s="5" t="s">
        <v>299</v>
      </c>
      <c r="C162" s="4" t="s">
        <v>10</v>
      </c>
      <c r="D162" s="4" t="s">
        <v>95</v>
      </c>
      <c r="E162" s="4" t="s">
        <v>17</v>
      </c>
      <c r="F162" s="4">
        <v>574.33000000000004</v>
      </c>
      <c r="G162" s="4">
        <v>62.75</v>
      </c>
      <c r="H162" s="4">
        <v>3</v>
      </c>
      <c r="I162" s="6">
        <f t="shared" si="4"/>
        <v>0.10925774380582591</v>
      </c>
      <c r="J162" t="str">
        <f t="shared" si="5"/>
        <v>Nov-2025</v>
      </c>
    </row>
    <row r="163" spans="1:10" x14ac:dyDescent="0.3">
      <c r="A163" s="4" t="s">
        <v>313</v>
      </c>
      <c r="B163" s="5" t="s">
        <v>314</v>
      </c>
      <c r="C163" s="4" t="s">
        <v>10</v>
      </c>
      <c r="D163" s="4" t="s">
        <v>40</v>
      </c>
      <c r="E163" s="4" t="s">
        <v>41</v>
      </c>
      <c r="F163" s="4">
        <v>4483.3599999999997</v>
      </c>
      <c r="G163" s="4">
        <v>1487.32</v>
      </c>
      <c r="H163" s="4">
        <v>2</v>
      </c>
      <c r="I163" s="6">
        <f t="shared" si="4"/>
        <v>0.33174226473002394</v>
      </c>
      <c r="J163" t="str">
        <f t="shared" si="5"/>
        <v>Oct-2025</v>
      </c>
    </row>
    <row r="164" spans="1:10" x14ac:dyDescent="0.3">
      <c r="A164" s="4" t="s">
        <v>315</v>
      </c>
      <c r="B164" s="5" t="s">
        <v>316</v>
      </c>
      <c r="C164" s="4" t="s">
        <v>34</v>
      </c>
      <c r="D164" s="4" t="s">
        <v>20</v>
      </c>
      <c r="E164" s="4" t="s">
        <v>12</v>
      </c>
      <c r="F164" s="4">
        <v>3431.1</v>
      </c>
      <c r="G164" s="4">
        <v>956.28</v>
      </c>
      <c r="H164" s="4">
        <v>3</v>
      </c>
      <c r="I164" s="6">
        <f t="shared" si="4"/>
        <v>0.27870945177931278</v>
      </c>
      <c r="J164" t="str">
        <f t="shared" si="5"/>
        <v>Dec-2025</v>
      </c>
    </row>
    <row r="165" spans="1:10" x14ac:dyDescent="0.3">
      <c r="A165" s="4" t="s">
        <v>317</v>
      </c>
      <c r="B165" s="5" t="s">
        <v>157</v>
      </c>
      <c r="C165" s="4" t="s">
        <v>34</v>
      </c>
      <c r="D165" s="4" t="s">
        <v>11</v>
      </c>
      <c r="E165" s="4" t="s">
        <v>12</v>
      </c>
      <c r="F165" s="4">
        <v>3146.36</v>
      </c>
      <c r="G165" s="4">
        <v>420.77</v>
      </c>
      <c r="H165" s="4">
        <v>1</v>
      </c>
      <c r="I165" s="6">
        <f t="shared" si="4"/>
        <v>0.13373231289490076</v>
      </c>
      <c r="J165" t="str">
        <f t="shared" si="5"/>
        <v>Aug-2025</v>
      </c>
    </row>
    <row r="166" spans="1:10" x14ac:dyDescent="0.3">
      <c r="A166" s="4" t="s">
        <v>318</v>
      </c>
      <c r="B166" s="5" t="s">
        <v>319</v>
      </c>
      <c r="C166" s="4" t="s">
        <v>15</v>
      </c>
      <c r="D166" s="4" t="s">
        <v>20</v>
      </c>
      <c r="E166" s="4" t="s">
        <v>12</v>
      </c>
      <c r="F166" s="4">
        <v>2149.98</v>
      </c>
      <c r="G166" s="4">
        <v>662.99</v>
      </c>
      <c r="H166" s="4">
        <v>2</v>
      </c>
      <c r="I166" s="6">
        <f t="shared" si="4"/>
        <v>0.30837031042149232</v>
      </c>
      <c r="J166" t="str">
        <f t="shared" si="5"/>
        <v>Sep-2025</v>
      </c>
    </row>
    <row r="167" spans="1:10" x14ac:dyDescent="0.3">
      <c r="A167" s="4" t="s">
        <v>320</v>
      </c>
      <c r="B167" s="5" t="s">
        <v>321</v>
      </c>
      <c r="C167" s="4" t="s">
        <v>10</v>
      </c>
      <c r="D167" s="4" t="s">
        <v>16</v>
      </c>
      <c r="E167" s="4" t="s">
        <v>17</v>
      </c>
      <c r="F167" s="4">
        <v>1161.97</v>
      </c>
      <c r="G167" s="4">
        <v>302.95999999999998</v>
      </c>
      <c r="H167" s="4">
        <v>4</v>
      </c>
      <c r="I167" s="6">
        <f t="shared" si="4"/>
        <v>0.26072962296789071</v>
      </c>
      <c r="J167" t="str">
        <f t="shared" si="5"/>
        <v>Jun-2025</v>
      </c>
    </row>
    <row r="168" spans="1:10" x14ac:dyDescent="0.3">
      <c r="A168" s="4" t="s">
        <v>322</v>
      </c>
      <c r="B168" s="5" t="s">
        <v>323</v>
      </c>
      <c r="C168" s="4" t="s">
        <v>15</v>
      </c>
      <c r="D168" s="4" t="s">
        <v>37</v>
      </c>
      <c r="E168" s="4" t="s">
        <v>17</v>
      </c>
      <c r="F168" s="4">
        <v>4279.9399999999996</v>
      </c>
      <c r="G168" s="4">
        <v>265.95999999999998</v>
      </c>
      <c r="H168" s="4">
        <v>5</v>
      </c>
      <c r="I168" s="6">
        <f t="shared" si="4"/>
        <v>6.2141058052215689E-2</v>
      </c>
      <c r="J168" t="str">
        <f t="shared" si="5"/>
        <v>Mar-2025</v>
      </c>
    </row>
    <row r="169" spans="1:10" x14ac:dyDescent="0.3">
      <c r="A169" s="4" t="s">
        <v>324</v>
      </c>
      <c r="B169" s="5" t="s">
        <v>325</v>
      </c>
      <c r="C169" s="4" t="s">
        <v>10</v>
      </c>
      <c r="D169" s="4" t="s">
        <v>11</v>
      </c>
      <c r="E169" s="4" t="s">
        <v>12</v>
      </c>
      <c r="F169" s="4">
        <v>3696.26</v>
      </c>
      <c r="G169" s="4">
        <v>963.39</v>
      </c>
      <c r="H169" s="4">
        <v>7</v>
      </c>
      <c r="I169" s="6">
        <f t="shared" si="4"/>
        <v>0.26063913252855586</v>
      </c>
      <c r="J169" t="str">
        <f t="shared" si="5"/>
        <v>Aug-2025</v>
      </c>
    </row>
    <row r="170" spans="1:10" x14ac:dyDescent="0.3">
      <c r="A170" s="4" t="s">
        <v>326</v>
      </c>
      <c r="B170" s="5" t="s">
        <v>226</v>
      </c>
      <c r="C170" s="4" t="s">
        <v>10</v>
      </c>
      <c r="D170" s="4" t="s">
        <v>37</v>
      </c>
      <c r="E170" s="4" t="s">
        <v>17</v>
      </c>
      <c r="F170" s="4">
        <v>1017.29</v>
      </c>
      <c r="G170" s="4">
        <v>147.31</v>
      </c>
      <c r="H170" s="4">
        <v>8</v>
      </c>
      <c r="I170" s="6">
        <f t="shared" si="4"/>
        <v>0.14480629908875542</v>
      </c>
      <c r="J170" t="str">
        <f t="shared" si="5"/>
        <v>Mar-2025</v>
      </c>
    </row>
    <row r="171" spans="1:10" x14ac:dyDescent="0.3">
      <c r="A171" s="4" t="s">
        <v>327</v>
      </c>
      <c r="B171" s="5" t="s">
        <v>200</v>
      </c>
      <c r="C171" s="4" t="s">
        <v>34</v>
      </c>
      <c r="D171" s="4" t="s">
        <v>27</v>
      </c>
      <c r="E171" s="4" t="s">
        <v>12</v>
      </c>
      <c r="F171" s="4">
        <v>3881.45</v>
      </c>
      <c r="G171" s="4">
        <v>318.26</v>
      </c>
      <c r="H171" s="4">
        <v>10</v>
      </c>
      <c r="I171" s="6">
        <f t="shared" si="4"/>
        <v>8.1995130685697359E-2</v>
      </c>
      <c r="J171" t="str">
        <f t="shared" si="5"/>
        <v>Feb-2025</v>
      </c>
    </row>
    <row r="172" spans="1:10" x14ac:dyDescent="0.3">
      <c r="A172" s="4" t="s">
        <v>328</v>
      </c>
      <c r="B172" s="5" t="s">
        <v>329</v>
      </c>
      <c r="C172" s="4" t="s">
        <v>15</v>
      </c>
      <c r="D172" s="4" t="s">
        <v>20</v>
      </c>
      <c r="E172" s="4" t="s">
        <v>12</v>
      </c>
      <c r="F172" s="4">
        <v>4136.1899999999996</v>
      </c>
      <c r="G172" s="4">
        <v>439.4</v>
      </c>
      <c r="H172" s="4">
        <v>4</v>
      </c>
      <c r="I172" s="6">
        <f t="shared" si="4"/>
        <v>0.10623303088107655</v>
      </c>
      <c r="J172" t="str">
        <f t="shared" si="5"/>
        <v>Jan-2025</v>
      </c>
    </row>
    <row r="173" spans="1:10" x14ac:dyDescent="0.3">
      <c r="A173" s="4" t="s">
        <v>330</v>
      </c>
      <c r="B173" s="5" t="s">
        <v>157</v>
      </c>
      <c r="C173" s="4" t="s">
        <v>10</v>
      </c>
      <c r="D173" s="4" t="s">
        <v>95</v>
      </c>
      <c r="E173" s="4" t="s">
        <v>17</v>
      </c>
      <c r="F173" s="4">
        <v>2583.29</v>
      </c>
      <c r="G173" s="4">
        <v>469.27</v>
      </c>
      <c r="H173" s="4">
        <v>6</v>
      </c>
      <c r="I173" s="6">
        <f t="shared" si="4"/>
        <v>0.18165595035787696</v>
      </c>
      <c r="J173" t="str">
        <f t="shared" si="5"/>
        <v>Aug-2025</v>
      </c>
    </row>
    <row r="174" spans="1:10" x14ac:dyDescent="0.3">
      <c r="A174" s="4" t="s">
        <v>331</v>
      </c>
      <c r="B174" s="5" t="s">
        <v>151</v>
      </c>
      <c r="C174" s="4" t="s">
        <v>15</v>
      </c>
      <c r="D174" s="4" t="s">
        <v>40</v>
      </c>
      <c r="E174" s="4" t="s">
        <v>41</v>
      </c>
      <c r="F174" s="4">
        <v>439.93</v>
      </c>
      <c r="G174" s="4">
        <v>48.53</v>
      </c>
      <c r="H174" s="4">
        <v>5</v>
      </c>
      <c r="I174" s="6">
        <f t="shared" si="4"/>
        <v>0.1103130043415998</v>
      </c>
      <c r="J174" t="str">
        <f t="shared" si="5"/>
        <v>Aug-2025</v>
      </c>
    </row>
    <row r="175" spans="1:10" x14ac:dyDescent="0.3">
      <c r="A175" s="4" t="s">
        <v>332</v>
      </c>
      <c r="B175" s="5" t="s">
        <v>333</v>
      </c>
      <c r="C175" s="4" t="s">
        <v>24</v>
      </c>
      <c r="D175" s="4" t="s">
        <v>46</v>
      </c>
      <c r="E175" s="4" t="s">
        <v>41</v>
      </c>
      <c r="F175" s="4">
        <v>2970.5</v>
      </c>
      <c r="G175" s="4">
        <v>911.63</v>
      </c>
      <c r="H175" s="4">
        <v>1</v>
      </c>
      <c r="I175" s="6">
        <f t="shared" si="4"/>
        <v>0.30689446221174888</v>
      </c>
      <c r="J175" t="str">
        <f t="shared" si="5"/>
        <v>Jan-2025</v>
      </c>
    </row>
    <row r="176" spans="1:10" x14ac:dyDescent="0.3">
      <c r="A176" s="4" t="s">
        <v>334</v>
      </c>
      <c r="B176" s="5" t="s">
        <v>335</v>
      </c>
      <c r="C176" s="4" t="s">
        <v>10</v>
      </c>
      <c r="D176" s="4" t="s">
        <v>27</v>
      </c>
      <c r="E176" s="4" t="s">
        <v>12</v>
      </c>
      <c r="F176" s="4">
        <v>2720.55</v>
      </c>
      <c r="G176" s="4">
        <v>728.26</v>
      </c>
      <c r="H176" s="4">
        <v>4</v>
      </c>
      <c r="I176" s="6">
        <f t="shared" si="4"/>
        <v>0.26768851886567052</v>
      </c>
      <c r="J176" t="str">
        <f t="shared" si="5"/>
        <v>Jan-2025</v>
      </c>
    </row>
    <row r="177" spans="1:10" x14ac:dyDescent="0.3">
      <c r="A177" s="4" t="s">
        <v>336</v>
      </c>
      <c r="B177" s="5" t="s">
        <v>337</v>
      </c>
      <c r="C177" s="4" t="s">
        <v>10</v>
      </c>
      <c r="D177" s="4" t="s">
        <v>16</v>
      </c>
      <c r="E177" s="4" t="s">
        <v>17</v>
      </c>
      <c r="F177" s="4">
        <v>2693.52</v>
      </c>
      <c r="G177" s="4">
        <v>772.68</v>
      </c>
      <c r="H177" s="4">
        <v>4</v>
      </c>
      <c r="I177" s="6">
        <f t="shared" si="4"/>
        <v>0.28686625679408356</v>
      </c>
      <c r="J177" t="str">
        <f t="shared" si="5"/>
        <v>Jul-2025</v>
      </c>
    </row>
    <row r="178" spans="1:10" x14ac:dyDescent="0.3">
      <c r="A178" s="4" t="s">
        <v>338</v>
      </c>
      <c r="B178" s="5" t="s">
        <v>339</v>
      </c>
      <c r="C178" s="4" t="s">
        <v>24</v>
      </c>
      <c r="D178" s="4" t="s">
        <v>37</v>
      </c>
      <c r="E178" s="4" t="s">
        <v>17</v>
      </c>
      <c r="F178" s="4">
        <v>2426.1</v>
      </c>
      <c r="G178" s="4">
        <v>676.16</v>
      </c>
      <c r="H178" s="4">
        <v>4</v>
      </c>
      <c r="I178" s="6">
        <f t="shared" si="4"/>
        <v>0.27870244425209184</v>
      </c>
      <c r="J178" t="str">
        <f t="shared" si="5"/>
        <v>Sep-2025</v>
      </c>
    </row>
    <row r="179" spans="1:10" x14ac:dyDescent="0.3">
      <c r="A179" s="4" t="s">
        <v>340</v>
      </c>
      <c r="B179" s="5" t="s">
        <v>186</v>
      </c>
      <c r="C179" s="4" t="s">
        <v>10</v>
      </c>
      <c r="D179" s="4" t="s">
        <v>40</v>
      </c>
      <c r="E179" s="4" t="s">
        <v>41</v>
      </c>
      <c r="F179" s="4">
        <v>397.89</v>
      </c>
      <c r="G179" s="4">
        <v>92.53</v>
      </c>
      <c r="H179" s="4">
        <v>6</v>
      </c>
      <c r="I179" s="6">
        <f t="shared" si="4"/>
        <v>0.23255171027168314</v>
      </c>
      <c r="J179" t="str">
        <f t="shared" si="5"/>
        <v>Aug-2025</v>
      </c>
    </row>
    <row r="180" spans="1:10" x14ac:dyDescent="0.3">
      <c r="A180" s="4" t="s">
        <v>341</v>
      </c>
      <c r="B180" s="5" t="s">
        <v>342</v>
      </c>
      <c r="C180" s="4" t="s">
        <v>15</v>
      </c>
      <c r="D180" s="4" t="s">
        <v>37</v>
      </c>
      <c r="E180" s="4" t="s">
        <v>17</v>
      </c>
      <c r="F180" s="4">
        <v>524.01</v>
      </c>
      <c r="G180" s="4">
        <v>175.83</v>
      </c>
      <c r="H180" s="4">
        <v>4</v>
      </c>
      <c r="I180" s="6">
        <f t="shared" si="4"/>
        <v>0.33554703154519955</v>
      </c>
      <c r="J180" t="str">
        <f t="shared" si="5"/>
        <v>Mar-2025</v>
      </c>
    </row>
    <row r="181" spans="1:10" x14ac:dyDescent="0.3">
      <c r="A181" s="4" t="s">
        <v>343</v>
      </c>
      <c r="B181" s="5" t="s">
        <v>344</v>
      </c>
      <c r="C181" s="4" t="s">
        <v>15</v>
      </c>
      <c r="D181" s="4" t="s">
        <v>95</v>
      </c>
      <c r="E181" s="4" t="s">
        <v>17</v>
      </c>
      <c r="F181" s="4">
        <v>4709.63</v>
      </c>
      <c r="G181" s="4">
        <v>912.96</v>
      </c>
      <c r="H181" s="4">
        <v>4</v>
      </c>
      <c r="I181" s="6">
        <f t="shared" si="4"/>
        <v>0.19384962300647821</v>
      </c>
      <c r="J181" t="str">
        <f t="shared" si="5"/>
        <v>Apr-2025</v>
      </c>
    </row>
    <row r="182" spans="1:10" x14ac:dyDescent="0.3">
      <c r="A182" s="4" t="s">
        <v>345</v>
      </c>
      <c r="B182" s="5" t="s">
        <v>346</v>
      </c>
      <c r="C182" s="4" t="s">
        <v>10</v>
      </c>
      <c r="D182" s="4" t="s">
        <v>16</v>
      </c>
      <c r="E182" s="4" t="s">
        <v>17</v>
      </c>
      <c r="F182" s="4">
        <v>367.49</v>
      </c>
      <c r="G182" s="4">
        <v>40.64</v>
      </c>
      <c r="H182" s="4">
        <v>1</v>
      </c>
      <c r="I182" s="6">
        <f t="shared" si="4"/>
        <v>0.11058804321206019</v>
      </c>
      <c r="J182" t="str">
        <f t="shared" si="5"/>
        <v>Apr-2025</v>
      </c>
    </row>
    <row r="183" spans="1:10" x14ac:dyDescent="0.3">
      <c r="A183" s="4" t="s">
        <v>347</v>
      </c>
      <c r="B183" s="5" t="s">
        <v>348</v>
      </c>
      <c r="C183" s="4" t="s">
        <v>10</v>
      </c>
      <c r="D183" s="4" t="s">
        <v>16</v>
      </c>
      <c r="E183" s="4" t="s">
        <v>17</v>
      </c>
      <c r="F183" s="4">
        <v>3059.05</v>
      </c>
      <c r="G183" s="4">
        <v>337.9</v>
      </c>
      <c r="H183" s="4">
        <v>9</v>
      </c>
      <c r="I183" s="6">
        <f t="shared" si="4"/>
        <v>0.11045912946829897</v>
      </c>
      <c r="J183" t="str">
        <f t="shared" si="5"/>
        <v>Sep-2025</v>
      </c>
    </row>
    <row r="184" spans="1:10" x14ac:dyDescent="0.3">
      <c r="A184" s="4" t="s">
        <v>349</v>
      </c>
      <c r="B184" s="5" t="s">
        <v>350</v>
      </c>
      <c r="C184" s="4" t="s">
        <v>24</v>
      </c>
      <c r="D184" s="4" t="s">
        <v>46</v>
      </c>
      <c r="E184" s="4" t="s">
        <v>41</v>
      </c>
      <c r="F184" s="4">
        <v>4290.1400000000003</v>
      </c>
      <c r="G184" s="4">
        <v>487.59</v>
      </c>
      <c r="H184" s="4">
        <v>5</v>
      </c>
      <c r="I184" s="6">
        <f t="shared" si="4"/>
        <v>0.11365363368095212</v>
      </c>
      <c r="J184" t="str">
        <f t="shared" si="5"/>
        <v>Apr-2025</v>
      </c>
    </row>
    <row r="185" spans="1:10" x14ac:dyDescent="0.3">
      <c r="A185" s="4" t="s">
        <v>351</v>
      </c>
      <c r="B185" s="5" t="s">
        <v>107</v>
      </c>
      <c r="C185" s="4" t="s">
        <v>24</v>
      </c>
      <c r="D185" s="4" t="s">
        <v>27</v>
      </c>
      <c r="E185" s="4" t="s">
        <v>12</v>
      </c>
      <c r="F185" s="4">
        <v>1454.08</v>
      </c>
      <c r="G185" s="4">
        <v>358.74</v>
      </c>
      <c r="H185" s="4">
        <v>6</v>
      </c>
      <c r="I185" s="6">
        <f t="shared" si="4"/>
        <v>0.24671269806338031</v>
      </c>
      <c r="J185" t="str">
        <f t="shared" si="5"/>
        <v>Jun-2025</v>
      </c>
    </row>
    <row r="186" spans="1:10" x14ac:dyDescent="0.3">
      <c r="A186" s="4" t="s">
        <v>352</v>
      </c>
      <c r="B186" s="5" t="s">
        <v>304</v>
      </c>
      <c r="C186" s="4" t="s">
        <v>10</v>
      </c>
      <c r="D186" s="4" t="s">
        <v>46</v>
      </c>
      <c r="E186" s="4" t="s">
        <v>41</v>
      </c>
      <c r="F186" s="4">
        <v>1084.01</v>
      </c>
      <c r="G186" s="4">
        <v>325.29000000000002</v>
      </c>
      <c r="H186" s="4">
        <v>9</v>
      </c>
      <c r="I186" s="6">
        <f t="shared" si="4"/>
        <v>0.30008025756219964</v>
      </c>
      <c r="J186" t="str">
        <f t="shared" si="5"/>
        <v>Jul-2025</v>
      </c>
    </row>
    <row r="187" spans="1:10" x14ac:dyDescent="0.3">
      <c r="A187" s="4" t="s">
        <v>353</v>
      </c>
      <c r="B187" s="5" t="s">
        <v>354</v>
      </c>
      <c r="C187" s="4" t="s">
        <v>24</v>
      </c>
      <c r="D187" s="4" t="s">
        <v>20</v>
      </c>
      <c r="E187" s="4" t="s">
        <v>12</v>
      </c>
      <c r="F187" s="4">
        <v>4523.87</v>
      </c>
      <c r="G187" s="4">
        <v>946.13</v>
      </c>
      <c r="H187" s="4">
        <v>7</v>
      </c>
      <c r="I187" s="6">
        <f t="shared" si="4"/>
        <v>0.20914173042107753</v>
      </c>
      <c r="J187" t="str">
        <f t="shared" si="5"/>
        <v>May-2025</v>
      </c>
    </row>
    <row r="188" spans="1:10" x14ac:dyDescent="0.3">
      <c r="A188" s="4" t="s">
        <v>355</v>
      </c>
      <c r="B188" s="5" t="s">
        <v>356</v>
      </c>
      <c r="C188" s="4" t="s">
        <v>34</v>
      </c>
      <c r="D188" s="4" t="s">
        <v>11</v>
      </c>
      <c r="E188" s="4" t="s">
        <v>12</v>
      </c>
      <c r="F188" s="4">
        <v>1374.05</v>
      </c>
      <c r="G188" s="4">
        <v>372.97</v>
      </c>
      <c r="H188" s="4">
        <v>4</v>
      </c>
      <c r="I188" s="6">
        <f t="shared" si="4"/>
        <v>0.27143844838251885</v>
      </c>
      <c r="J188" t="str">
        <f t="shared" si="5"/>
        <v>Nov-2025</v>
      </c>
    </row>
    <row r="189" spans="1:10" x14ac:dyDescent="0.3">
      <c r="A189" s="4" t="s">
        <v>357</v>
      </c>
      <c r="B189" s="5" t="s">
        <v>237</v>
      </c>
      <c r="C189" s="4" t="s">
        <v>34</v>
      </c>
      <c r="D189" s="4" t="s">
        <v>27</v>
      </c>
      <c r="E189" s="4" t="s">
        <v>12</v>
      </c>
      <c r="F189" s="4">
        <v>4900.4799999999996</v>
      </c>
      <c r="G189" s="4">
        <v>1681.89</v>
      </c>
      <c r="H189" s="4">
        <v>8</v>
      </c>
      <c r="I189" s="6">
        <f t="shared" si="4"/>
        <v>0.34320923664620612</v>
      </c>
      <c r="J189" t="str">
        <f t="shared" si="5"/>
        <v>Sep-2025</v>
      </c>
    </row>
    <row r="190" spans="1:10" x14ac:dyDescent="0.3">
      <c r="A190" s="4" t="s">
        <v>358</v>
      </c>
      <c r="B190" s="5" t="s">
        <v>359</v>
      </c>
      <c r="C190" s="4" t="s">
        <v>10</v>
      </c>
      <c r="D190" s="4" t="s">
        <v>40</v>
      </c>
      <c r="E190" s="4" t="s">
        <v>41</v>
      </c>
      <c r="F190" s="4">
        <v>2227.11</v>
      </c>
      <c r="G190" s="4">
        <v>695.52</v>
      </c>
      <c r="H190" s="4">
        <v>1</v>
      </c>
      <c r="I190" s="6">
        <f t="shared" si="4"/>
        <v>0.31229710252300064</v>
      </c>
      <c r="J190" t="str">
        <f t="shared" si="5"/>
        <v>Jul-2025</v>
      </c>
    </row>
    <row r="191" spans="1:10" x14ac:dyDescent="0.3">
      <c r="A191" s="4" t="s">
        <v>360</v>
      </c>
      <c r="B191" s="5" t="s">
        <v>361</v>
      </c>
      <c r="C191" s="4" t="s">
        <v>24</v>
      </c>
      <c r="D191" s="4" t="s">
        <v>46</v>
      </c>
      <c r="E191" s="4" t="s">
        <v>41</v>
      </c>
      <c r="F191" s="4">
        <v>1701.66</v>
      </c>
      <c r="G191" s="4">
        <v>331.82</v>
      </c>
      <c r="H191" s="4">
        <v>9</v>
      </c>
      <c r="I191" s="6">
        <f t="shared" si="4"/>
        <v>0.19499782565259804</v>
      </c>
      <c r="J191" t="str">
        <f t="shared" si="5"/>
        <v>Dec-2025</v>
      </c>
    </row>
    <row r="192" spans="1:10" x14ac:dyDescent="0.3">
      <c r="A192" s="4" t="s">
        <v>362</v>
      </c>
      <c r="B192" s="5" t="s">
        <v>363</v>
      </c>
      <c r="C192" s="4" t="s">
        <v>10</v>
      </c>
      <c r="D192" s="4" t="s">
        <v>20</v>
      </c>
      <c r="E192" s="4" t="s">
        <v>12</v>
      </c>
      <c r="F192" s="4">
        <v>1994.73</v>
      </c>
      <c r="G192" s="4">
        <v>337.77</v>
      </c>
      <c r="H192" s="4">
        <v>6</v>
      </c>
      <c r="I192" s="6">
        <f t="shared" si="4"/>
        <v>0.16933118767953556</v>
      </c>
      <c r="J192" t="str">
        <f t="shared" si="5"/>
        <v>Mar-2025</v>
      </c>
    </row>
    <row r="193" spans="1:10" x14ac:dyDescent="0.3">
      <c r="A193" s="4" t="s">
        <v>364</v>
      </c>
      <c r="B193" s="5" t="s">
        <v>365</v>
      </c>
      <c r="C193" s="4" t="s">
        <v>24</v>
      </c>
      <c r="D193" s="4" t="s">
        <v>16</v>
      </c>
      <c r="E193" s="4" t="s">
        <v>17</v>
      </c>
      <c r="F193" s="4">
        <v>3451.3</v>
      </c>
      <c r="G193" s="4">
        <v>411.9</v>
      </c>
      <c r="H193" s="4">
        <v>9</v>
      </c>
      <c r="I193" s="6">
        <f t="shared" si="4"/>
        <v>0.11934633326572594</v>
      </c>
      <c r="J193" t="str">
        <f t="shared" si="5"/>
        <v>Apr-2025</v>
      </c>
    </row>
    <row r="194" spans="1:10" x14ac:dyDescent="0.3">
      <c r="A194" s="4" t="s">
        <v>366</v>
      </c>
      <c r="B194" s="5" t="s">
        <v>367</v>
      </c>
      <c r="C194" s="4" t="s">
        <v>10</v>
      </c>
      <c r="D194" s="4" t="s">
        <v>11</v>
      </c>
      <c r="E194" s="4" t="s">
        <v>12</v>
      </c>
      <c r="F194" s="4">
        <v>3785.92</v>
      </c>
      <c r="G194" s="4">
        <v>1006.62</v>
      </c>
      <c r="H194" s="4">
        <v>1</v>
      </c>
      <c r="I194" s="6">
        <f t="shared" si="4"/>
        <v>0.26588517454145888</v>
      </c>
      <c r="J194" t="str">
        <f t="shared" si="5"/>
        <v>Oct-2025</v>
      </c>
    </row>
    <row r="195" spans="1:10" x14ac:dyDescent="0.3">
      <c r="A195" s="4" t="s">
        <v>368</v>
      </c>
      <c r="B195" s="5" t="s">
        <v>369</v>
      </c>
      <c r="C195" s="4" t="s">
        <v>15</v>
      </c>
      <c r="D195" s="4" t="s">
        <v>37</v>
      </c>
      <c r="E195" s="4" t="s">
        <v>17</v>
      </c>
      <c r="F195" s="4">
        <v>1885.71</v>
      </c>
      <c r="G195" s="4">
        <v>527.62</v>
      </c>
      <c r="H195" s="4">
        <v>9</v>
      </c>
      <c r="I195" s="6">
        <f t="shared" ref="I195:I258" si="6">G195/F195</f>
        <v>0.27979912075557745</v>
      </c>
      <c r="J195" t="str">
        <f t="shared" ref="J195:J258" si="7">TEXT(B195,"mmm-yyyy")</f>
        <v>Oct-2025</v>
      </c>
    </row>
    <row r="196" spans="1:10" x14ac:dyDescent="0.3">
      <c r="A196" s="4" t="s">
        <v>370</v>
      </c>
      <c r="B196" s="5" t="s">
        <v>371</v>
      </c>
      <c r="C196" s="4" t="s">
        <v>15</v>
      </c>
      <c r="D196" s="4" t="s">
        <v>37</v>
      </c>
      <c r="E196" s="4" t="s">
        <v>17</v>
      </c>
      <c r="F196" s="4">
        <v>4210.7299999999996</v>
      </c>
      <c r="G196" s="4">
        <v>683.74</v>
      </c>
      <c r="H196" s="4">
        <v>8</v>
      </c>
      <c r="I196" s="6">
        <f t="shared" si="6"/>
        <v>0.16238039484839922</v>
      </c>
      <c r="J196" t="str">
        <f t="shared" si="7"/>
        <v>Mar-2025</v>
      </c>
    </row>
    <row r="197" spans="1:10" x14ac:dyDescent="0.3">
      <c r="A197" s="4" t="s">
        <v>372</v>
      </c>
      <c r="B197" s="5" t="s">
        <v>140</v>
      </c>
      <c r="C197" s="4" t="s">
        <v>10</v>
      </c>
      <c r="D197" s="4" t="s">
        <v>27</v>
      </c>
      <c r="E197" s="4" t="s">
        <v>12</v>
      </c>
      <c r="F197" s="4">
        <v>2628.04</v>
      </c>
      <c r="G197" s="4">
        <v>206.29</v>
      </c>
      <c r="H197" s="4">
        <v>7</v>
      </c>
      <c r="I197" s="6">
        <f t="shared" si="6"/>
        <v>7.8495761099526648E-2</v>
      </c>
      <c r="J197" t="str">
        <f t="shared" si="7"/>
        <v>May-2025</v>
      </c>
    </row>
    <row r="198" spans="1:10" x14ac:dyDescent="0.3">
      <c r="A198" s="4" t="s">
        <v>373</v>
      </c>
      <c r="B198" s="5" t="s">
        <v>131</v>
      </c>
      <c r="C198" s="4" t="s">
        <v>15</v>
      </c>
      <c r="D198" s="4" t="s">
        <v>37</v>
      </c>
      <c r="E198" s="4" t="s">
        <v>17</v>
      </c>
      <c r="F198" s="4">
        <v>4127.91</v>
      </c>
      <c r="G198" s="4">
        <v>1338.09</v>
      </c>
      <c r="H198" s="4">
        <v>1</v>
      </c>
      <c r="I198" s="6">
        <f t="shared" si="6"/>
        <v>0.32415677667391002</v>
      </c>
      <c r="J198" t="str">
        <f t="shared" si="7"/>
        <v>Nov-2025</v>
      </c>
    </row>
    <row r="199" spans="1:10" x14ac:dyDescent="0.3">
      <c r="A199" s="4" t="s">
        <v>374</v>
      </c>
      <c r="B199" s="5" t="s">
        <v>375</v>
      </c>
      <c r="C199" s="4" t="s">
        <v>10</v>
      </c>
      <c r="D199" s="4" t="s">
        <v>37</v>
      </c>
      <c r="E199" s="4" t="s">
        <v>17</v>
      </c>
      <c r="F199" s="4">
        <v>147.15</v>
      </c>
      <c r="G199" s="4">
        <v>15.71</v>
      </c>
      <c r="H199" s="4">
        <v>6</v>
      </c>
      <c r="I199" s="6">
        <f t="shared" si="6"/>
        <v>0.10676180767923887</v>
      </c>
      <c r="J199" t="str">
        <f t="shared" si="7"/>
        <v>Sep-2025</v>
      </c>
    </row>
    <row r="200" spans="1:10" x14ac:dyDescent="0.3">
      <c r="A200" s="4" t="s">
        <v>376</v>
      </c>
      <c r="B200" s="5" t="s">
        <v>127</v>
      </c>
      <c r="C200" s="4" t="s">
        <v>10</v>
      </c>
      <c r="D200" s="4" t="s">
        <v>11</v>
      </c>
      <c r="E200" s="4" t="s">
        <v>12</v>
      </c>
      <c r="F200" s="4">
        <v>2719.99</v>
      </c>
      <c r="G200" s="4">
        <v>569.53</v>
      </c>
      <c r="H200" s="4">
        <v>10</v>
      </c>
      <c r="I200" s="6">
        <f t="shared" si="6"/>
        <v>0.20938679921617359</v>
      </c>
      <c r="J200" t="str">
        <f t="shared" si="7"/>
        <v>Jun-2025</v>
      </c>
    </row>
    <row r="201" spans="1:10" x14ac:dyDescent="0.3">
      <c r="A201" s="4" t="s">
        <v>377</v>
      </c>
      <c r="B201" s="5" t="s">
        <v>235</v>
      </c>
      <c r="C201" s="4" t="s">
        <v>15</v>
      </c>
      <c r="D201" s="4" t="s">
        <v>95</v>
      </c>
      <c r="E201" s="4" t="s">
        <v>17</v>
      </c>
      <c r="F201" s="4">
        <v>533.91</v>
      </c>
      <c r="G201" s="4">
        <v>85.82</v>
      </c>
      <c r="H201" s="4">
        <v>3</v>
      </c>
      <c r="I201" s="6">
        <f t="shared" si="6"/>
        <v>0.16073870127924181</v>
      </c>
      <c r="J201" t="str">
        <f t="shared" si="7"/>
        <v>Sep-2025</v>
      </c>
    </row>
    <row r="202" spans="1:10" x14ac:dyDescent="0.3">
      <c r="A202" s="4" t="s">
        <v>378</v>
      </c>
      <c r="B202" s="5" t="s">
        <v>379</v>
      </c>
      <c r="C202" s="4" t="s">
        <v>10</v>
      </c>
      <c r="D202" s="4" t="s">
        <v>27</v>
      </c>
      <c r="E202" s="4" t="s">
        <v>12</v>
      </c>
      <c r="F202" s="4">
        <v>1969.39</v>
      </c>
      <c r="G202" s="4">
        <v>601.1</v>
      </c>
      <c r="H202" s="4">
        <v>5</v>
      </c>
      <c r="I202" s="6">
        <f t="shared" si="6"/>
        <v>0.30522141373724859</v>
      </c>
      <c r="J202" t="str">
        <f t="shared" si="7"/>
        <v>Jul-2025</v>
      </c>
    </row>
    <row r="203" spans="1:10" x14ac:dyDescent="0.3">
      <c r="A203" s="4" t="s">
        <v>380</v>
      </c>
      <c r="B203" s="5" t="s">
        <v>274</v>
      </c>
      <c r="C203" s="4" t="s">
        <v>10</v>
      </c>
      <c r="D203" s="4" t="s">
        <v>37</v>
      </c>
      <c r="E203" s="4" t="s">
        <v>17</v>
      </c>
      <c r="F203" s="4">
        <v>2969.66</v>
      </c>
      <c r="G203" s="4">
        <v>955.71</v>
      </c>
      <c r="H203" s="4">
        <v>2</v>
      </c>
      <c r="I203" s="6">
        <f t="shared" si="6"/>
        <v>0.32182472067509416</v>
      </c>
      <c r="J203" t="str">
        <f t="shared" si="7"/>
        <v>Dec-2025</v>
      </c>
    </row>
    <row r="204" spans="1:10" x14ac:dyDescent="0.3">
      <c r="A204" s="4" t="s">
        <v>381</v>
      </c>
      <c r="B204" s="5" t="s">
        <v>157</v>
      </c>
      <c r="C204" s="4" t="s">
        <v>24</v>
      </c>
      <c r="D204" s="4" t="s">
        <v>27</v>
      </c>
      <c r="E204" s="4" t="s">
        <v>12</v>
      </c>
      <c r="F204" s="4">
        <v>3105.06</v>
      </c>
      <c r="G204" s="4">
        <v>897.58</v>
      </c>
      <c r="H204" s="4">
        <v>10</v>
      </c>
      <c r="I204" s="6">
        <f t="shared" si="6"/>
        <v>0.28907009848440934</v>
      </c>
      <c r="J204" t="str">
        <f t="shared" si="7"/>
        <v>Aug-2025</v>
      </c>
    </row>
    <row r="205" spans="1:10" x14ac:dyDescent="0.3">
      <c r="A205" s="4" t="s">
        <v>382</v>
      </c>
      <c r="B205" s="5" t="s">
        <v>293</v>
      </c>
      <c r="C205" s="4" t="s">
        <v>15</v>
      </c>
      <c r="D205" s="4" t="s">
        <v>95</v>
      </c>
      <c r="E205" s="4" t="s">
        <v>17</v>
      </c>
      <c r="F205" s="4">
        <v>1791.26</v>
      </c>
      <c r="G205" s="4">
        <v>416.7</v>
      </c>
      <c r="H205" s="4">
        <v>5</v>
      </c>
      <c r="I205" s="6">
        <f t="shared" si="6"/>
        <v>0.2326295456829271</v>
      </c>
      <c r="J205" t="str">
        <f t="shared" si="7"/>
        <v>Mar-2025</v>
      </c>
    </row>
    <row r="206" spans="1:10" x14ac:dyDescent="0.3">
      <c r="A206" s="4" t="s">
        <v>383</v>
      </c>
      <c r="B206" s="5" t="s">
        <v>45</v>
      </c>
      <c r="C206" s="4" t="s">
        <v>24</v>
      </c>
      <c r="D206" s="4" t="s">
        <v>20</v>
      </c>
      <c r="E206" s="4" t="s">
        <v>12</v>
      </c>
      <c r="F206" s="4">
        <v>3045.62</v>
      </c>
      <c r="G206" s="4">
        <v>715.6</v>
      </c>
      <c r="H206" s="4">
        <v>8</v>
      </c>
      <c r="I206" s="6">
        <f t="shared" si="6"/>
        <v>0.23496036931724906</v>
      </c>
      <c r="J206" t="str">
        <f t="shared" si="7"/>
        <v>Dec-2025</v>
      </c>
    </row>
    <row r="207" spans="1:10" x14ac:dyDescent="0.3">
      <c r="A207" s="4" t="s">
        <v>384</v>
      </c>
      <c r="B207" s="5" t="s">
        <v>365</v>
      </c>
      <c r="C207" s="4" t="s">
        <v>34</v>
      </c>
      <c r="D207" s="4" t="s">
        <v>27</v>
      </c>
      <c r="E207" s="4" t="s">
        <v>12</v>
      </c>
      <c r="F207" s="4">
        <v>4480.3999999999996</v>
      </c>
      <c r="G207" s="4">
        <v>961.59</v>
      </c>
      <c r="H207" s="4">
        <v>2</v>
      </c>
      <c r="I207" s="6">
        <f t="shared" si="6"/>
        <v>0.21462146236943133</v>
      </c>
      <c r="J207" t="str">
        <f t="shared" si="7"/>
        <v>Apr-2025</v>
      </c>
    </row>
    <row r="208" spans="1:10" x14ac:dyDescent="0.3">
      <c r="A208" s="4" t="s">
        <v>385</v>
      </c>
      <c r="B208" s="5" t="s">
        <v>149</v>
      </c>
      <c r="C208" s="4" t="s">
        <v>10</v>
      </c>
      <c r="D208" s="4" t="s">
        <v>20</v>
      </c>
      <c r="E208" s="4" t="s">
        <v>12</v>
      </c>
      <c r="F208" s="4">
        <v>2371.6</v>
      </c>
      <c r="G208" s="4">
        <v>765.26</v>
      </c>
      <c r="H208" s="4">
        <v>8</v>
      </c>
      <c r="I208" s="6">
        <f t="shared" si="6"/>
        <v>0.32267667397537531</v>
      </c>
      <c r="J208" t="str">
        <f t="shared" si="7"/>
        <v>Apr-2025</v>
      </c>
    </row>
    <row r="209" spans="1:10" x14ac:dyDescent="0.3">
      <c r="A209" s="4" t="s">
        <v>386</v>
      </c>
      <c r="B209" s="5" t="s">
        <v>387</v>
      </c>
      <c r="C209" s="4" t="s">
        <v>34</v>
      </c>
      <c r="D209" s="4" t="s">
        <v>46</v>
      </c>
      <c r="E209" s="4" t="s">
        <v>41</v>
      </c>
      <c r="F209" s="4">
        <v>3926.32</v>
      </c>
      <c r="G209" s="4">
        <v>304.67</v>
      </c>
      <c r="H209" s="4">
        <v>7</v>
      </c>
      <c r="I209" s="6">
        <f t="shared" si="6"/>
        <v>7.759683367631777E-2</v>
      </c>
      <c r="J209" t="str">
        <f t="shared" si="7"/>
        <v>Jun-2025</v>
      </c>
    </row>
    <row r="210" spans="1:10" x14ac:dyDescent="0.3">
      <c r="A210" s="4" t="s">
        <v>388</v>
      </c>
      <c r="B210" s="5" t="s">
        <v>389</v>
      </c>
      <c r="C210" s="4" t="s">
        <v>15</v>
      </c>
      <c r="D210" s="4" t="s">
        <v>27</v>
      </c>
      <c r="E210" s="4" t="s">
        <v>12</v>
      </c>
      <c r="F210" s="4">
        <v>4376.9799999999996</v>
      </c>
      <c r="G210" s="4">
        <v>1344.49</v>
      </c>
      <c r="H210" s="4">
        <v>10</v>
      </c>
      <c r="I210" s="6">
        <f t="shared" si="6"/>
        <v>0.30717298228458895</v>
      </c>
      <c r="J210" t="str">
        <f t="shared" si="7"/>
        <v>Dec-2025</v>
      </c>
    </row>
    <row r="211" spans="1:10" x14ac:dyDescent="0.3">
      <c r="A211" s="4" t="s">
        <v>390</v>
      </c>
      <c r="B211" s="5" t="s">
        <v>79</v>
      </c>
      <c r="C211" s="4" t="s">
        <v>15</v>
      </c>
      <c r="D211" s="4" t="s">
        <v>27</v>
      </c>
      <c r="E211" s="4" t="s">
        <v>12</v>
      </c>
      <c r="F211" s="4">
        <v>407.49</v>
      </c>
      <c r="G211" s="4">
        <v>116.23</v>
      </c>
      <c r="H211" s="4">
        <v>4</v>
      </c>
      <c r="I211" s="6">
        <f t="shared" si="6"/>
        <v>0.28523399347223244</v>
      </c>
      <c r="J211" t="str">
        <f t="shared" si="7"/>
        <v>Jul-2025</v>
      </c>
    </row>
    <row r="212" spans="1:10" x14ac:dyDescent="0.3">
      <c r="A212" s="4" t="s">
        <v>391</v>
      </c>
      <c r="B212" s="5" t="s">
        <v>392</v>
      </c>
      <c r="C212" s="4" t="s">
        <v>24</v>
      </c>
      <c r="D212" s="4" t="s">
        <v>27</v>
      </c>
      <c r="E212" s="4" t="s">
        <v>12</v>
      </c>
      <c r="F212" s="4">
        <v>1496.32</v>
      </c>
      <c r="G212" s="4">
        <v>317.98</v>
      </c>
      <c r="H212" s="4">
        <v>1</v>
      </c>
      <c r="I212" s="6">
        <f t="shared" si="6"/>
        <v>0.21250801967493588</v>
      </c>
      <c r="J212" t="str">
        <f t="shared" si="7"/>
        <v>Dec-2025</v>
      </c>
    </row>
    <row r="213" spans="1:10" x14ac:dyDescent="0.3">
      <c r="A213" s="4" t="s">
        <v>393</v>
      </c>
      <c r="B213" s="5" t="s">
        <v>140</v>
      </c>
      <c r="C213" s="4" t="s">
        <v>15</v>
      </c>
      <c r="D213" s="4" t="s">
        <v>20</v>
      </c>
      <c r="E213" s="4" t="s">
        <v>12</v>
      </c>
      <c r="F213" s="4">
        <v>1941.2</v>
      </c>
      <c r="G213" s="4">
        <v>289.69</v>
      </c>
      <c r="H213" s="4">
        <v>5</v>
      </c>
      <c r="I213" s="6">
        <f t="shared" si="6"/>
        <v>0.14923243354626003</v>
      </c>
      <c r="J213" t="str">
        <f t="shared" si="7"/>
        <v>May-2025</v>
      </c>
    </row>
    <row r="214" spans="1:10" x14ac:dyDescent="0.3">
      <c r="A214" s="4" t="s">
        <v>394</v>
      </c>
      <c r="B214" s="5" t="s">
        <v>395</v>
      </c>
      <c r="C214" s="4" t="s">
        <v>10</v>
      </c>
      <c r="D214" s="4" t="s">
        <v>95</v>
      </c>
      <c r="E214" s="4" t="s">
        <v>17</v>
      </c>
      <c r="F214" s="4">
        <v>3335.34</v>
      </c>
      <c r="G214" s="4">
        <v>1143.1400000000001</v>
      </c>
      <c r="H214" s="4">
        <v>10</v>
      </c>
      <c r="I214" s="6">
        <f t="shared" si="6"/>
        <v>0.34273567312477887</v>
      </c>
      <c r="J214" t="str">
        <f t="shared" si="7"/>
        <v>Jan-2025</v>
      </c>
    </row>
    <row r="215" spans="1:10" x14ac:dyDescent="0.3">
      <c r="A215" s="4" t="s">
        <v>396</v>
      </c>
      <c r="B215" s="5" t="s">
        <v>397</v>
      </c>
      <c r="C215" s="4" t="s">
        <v>34</v>
      </c>
      <c r="D215" s="4" t="s">
        <v>40</v>
      </c>
      <c r="E215" s="4" t="s">
        <v>41</v>
      </c>
      <c r="F215" s="4">
        <v>3038.84</v>
      </c>
      <c r="G215" s="4">
        <v>216.57</v>
      </c>
      <c r="H215" s="4">
        <v>7</v>
      </c>
      <c r="I215" s="6">
        <f t="shared" si="6"/>
        <v>7.1267325690065941E-2</v>
      </c>
      <c r="J215" t="str">
        <f t="shared" si="7"/>
        <v>Mar-2025</v>
      </c>
    </row>
    <row r="216" spans="1:10" x14ac:dyDescent="0.3">
      <c r="A216" s="4" t="s">
        <v>398</v>
      </c>
      <c r="B216" s="5" t="s">
        <v>71</v>
      </c>
      <c r="C216" s="4" t="s">
        <v>34</v>
      </c>
      <c r="D216" s="4" t="s">
        <v>11</v>
      </c>
      <c r="E216" s="4" t="s">
        <v>12</v>
      </c>
      <c r="F216" s="4">
        <v>1394.93</v>
      </c>
      <c r="G216" s="4">
        <v>223.75</v>
      </c>
      <c r="H216" s="4">
        <v>8</v>
      </c>
      <c r="I216" s="6">
        <f t="shared" si="6"/>
        <v>0.16040231409461406</v>
      </c>
      <c r="J216" t="str">
        <f t="shared" si="7"/>
        <v>Nov-2025</v>
      </c>
    </row>
    <row r="217" spans="1:10" x14ac:dyDescent="0.3">
      <c r="A217" s="4" t="s">
        <v>399</v>
      </c>
      <c r="B217" s="5" t="s">
        <v>22</v>
      </c>
      <c r="C217" s="4" t="s">
        <v>34</v>
      </c>
      <c r="D217" s="4" t="s">
        <v>16</v>
      </c>
      <c r="E217" s="4" t="s">
        <v>17</v>
      </c>
      <c r="F217" s="4">
        <v>985.5</v>
      </c>
      <c r="G217" s="4">
        <v>259.22000000000003</v>
      </c>
      <c r="H217" s="4">
        <v>3</v>
      </c>
      <c r="I217" s="6">
        <f t="shared" si="6"/>
        <v>0.26303399289700663</v>
      </c>
      <c r="J217" t="str">
        <f t="shared" si="7"/>
        <v>Dec-2025</v>
      </c>
    </row>
    <row r="218" spans="1:10" x14ac:dyDescent="0.3">
      <c r="A218" s="4" t="s">
        <v>400</v>
      </c>
      <c r="B218" s="5" t="s">
        <v>401</v>
      </c>
      <c r="C218" s="4" t="s">
        <v>15</v>
      </c>
      <c r="D218" s="4" t="s">
        <v>27</v>
      </c>
      <c r="E218" s="4" t="s">
        <v>12</v>
      </c>
      <c r="F218" s="4">
        <v>2087.85</v>
      </c>
      <c r="G218" s="4">
        <v>416.72</v>
      </c>
      <c r="H218" s="4">
        <v>3</v>
      </c>
      <c r="I218" s="6">
        <f t="shared" si="6"/>
        <v>0.19959288263045719</v>
      </c>
      <c r="J218" t="str">
        <f t="shared" si="7"/>
        <v>Nov-2025</v>
      </c>
    </row>
    <row r="219" spans="1:10" x14ac:dyDescent="0.3">
      <c r="A219" s="4" t="s">
        <v>402</v>
      </c>
      <c r="B219" s="5" t="s">
        <v>403</v>
      </c>
      <c r="C219" s="4" t="s">
        <v>15</v>
      </c>
      <c r="D219" s="4" t="s">
        <v>37</v>
      </c>
      <c r="E219" s="4" t="s">
        <v>17</v>
      </c>
      <c r="F219" s="4">
        <v>1016.92</v>
      </c>
      <c r="G219" s="4">
        <v>127.07</v>
      </c>
      <c r="H219" s="4">
        <v>1</v>
      </c>
      <c r="I219" s="6">
        <f t="shared" si="6"/>
        <v>0.12495574873146363</v>
      </c>
      <c r="J219" t="str">
        <f t="shared" si="7"/>
        <v>Jun-2025</v>
      </c>
    </row>
    <row r="220" spans="1:10" x14ac:dyDescent="0.3">
      <c r="A220" s="4" t="s">
        <v>404</v>
      </c>
      <c r="B220" s="5" t="s">
        <v>367</v>
      </c>
      <c r="C220" s="4" t="s">
        <v>34</v>
      </c>
      <c r="D220" s="4" t="s">
        <v>20</v>
      </c>
      <c r="E220" s="4" t="s">
        <v>12</v>
      </c>
      <c r="F220" s="4">
        <v>125.23</v>
      </c>
      <c r="G220" s="4">
        <v>34.700000000000003</v>
      </c>
      <c r="H220" s="4">
        <v>6</v>
      </c>
      <c r="I220" s="6">
        <f t="shared" si="6"/>
        <v>0.27709015411642579</v>
      </c>
      <c r="J220" t="str">
        <f t="shared" si="7"/>
        <v>Oct-2025</v>
      </c>
    </row>
    <row r="221" spans="1:10" x14ac:dyDescent="0.3">
      <c r="A221" s="4" t="s">
        <v>405</v>
      </c>
      <c r="B221" s="5" t="s">
        <v>406</v>
      </c>
      <c r="C221" s="4" t="s">
        <v>34</v>
      </c>
      <c r="D221" s="4" t="s">
        <v>20</v>
      </c>
      <c r="E221" s="4" t="s">
        <v>12</v>
      </c>
      <c r="F221" s="4">
        <v>3212.5</v>
      </c>
      <c r="G221" s="4">
        <v>208.22</v>
      </c>
      <c r="H221" s="4">
        <v>2</v>
      </c>
      <c r="I221" s="6">
        <f t="shared" si="6"/>
        <v>6.4815564202334627E-2</v>
      </c>
      <c r="J221" t="str">
        <f t="shared" si="7"/>
        <v>Jan-2025</v>
      </c>
    </row>
    <row r="222" spans="1:10" x14ac:dyDescent="0.3">
      <c r="A222" s="4" t="s">
        <v>407</v>
      </c>
      <c r="B222" s="5" t="s">
        <v>408</v>
      </c>
      <c r="C222" s="4" t="s">
        <v>24</v>
      </c>
      <c r="D222" s="4" t="s">
        <v>16</v>
      </c>
      <c r="E222" s="4" t="s">
        <v>17</v>
      </c>
      <c r="F222" s="4">
        <v>3132.32</v>
      </c>
      <c r="G222" s="4">
        <v>620.39</v>
      </c>
      <c r="H222" s="4">
        <v>8</v>
      </c>
      <c r="I222" s="6">
        <f t="shared" si="6"/>
        <v>0.19806086223629768</v>
      </c>
      <c r="J222" t="str">
        <f t="shared" si="7"/>
        <v>Feb-2025</v>
      </c>
    </row>
    <row r="223" spans="1:10" x14ac:dyDescent="0.3">
      <c r="A223" s="4" t="s">
        <v>409</v>
      </c>
      <c r="B223" s="5" t="s">
        <v>369</v>
      </c>
      <c r="C223" s="4" t="s">
        <v>10</v>
      </c>
      <c r="D223" s="4" t="s">
        <v>95</v>
      </c>
      <c r="E223" s="4" t="s">
        <v>17</v>
      </c>
      <c r="F223" s="4">
        <v>1253.0999999999999</v>
      </c>
      <c r="G223" s="4">
        <v>73.42</v>
      </c>
      <c r="H223" s="4">
        <v>6</v>
      </c>
      <c r="I223" s="6">
        <f t="shared" si="6"/>
        <v>5.8590695076211001E-2</v>
      </c>
      <c r="J223" t="str">
        <f t="shared" si="7"/>
        <v>Oct-2025</v>
      </c>
    </row>
    <row r="224" spans="1:10" x14ac:dyDescent="0.3">
      <c r="A224" s="4" t="s">
        <v>410</v>
      </c>
      <c r="B224" s="5" t="s">
        <v>163</v>
      </c>
      <c r="C224" s="4" t="s">
        <v>34</v>
      </c>
      <c r="D224" s="4" t="s">
        <v>46</v>
      </c>
      <c r="E224" s="4" t="s">
        <v>41</v>
      </c>
      <c r="F224" s="4">
        <v>3123.2</v>
      </c>
      <c r="G224" s="4">
        <v>1022.91</v>
      </c>
      <c r="H224" s="4">
        <v>5</v>
      </c>
      <c r="I224" s="6">
        <f t="shared" si="6"/>
        <v>0.32751985143442625</v>
      </c>
      <c r="J224" t="str">
        <f t="shared" si="7"/>
        <v>Sep-2025</v>
      </c>
    </row>
    <row r="225" spans="1:10" x14ac:dyDescent="0.3">
      <c r="A225" s="4" t="s">
        <v>411</v>
      </c>
      <c r="B225" s="5" t="s">
        <v>62</v>
      </c>
      <c r="C225" s="4" t="s">
        <v>15</v>
      </c>
      <c r="D225" s="4" t="s">
        <v>37</v>
      </c>
      <c r="E225" s="4" t="s">
        <v>17</v>
      </c>
      <c r="F225" s="4">
        <v>3552</v>
      </c>
      <c r="G225" s="4">
        <v>1150.75</v>
      </c>
      <c r="H225" s="4">
        <v>7</v>
      </c>
      <c r="I225" s="6">
        <f t="shared" si="6"/>
        <v>0.32397240990990989</v>
      </c>
      <c r="J225" t="str">
        <f t="shared" si="7"/>
        <v>Aug-2025</v>
      </c>
    </row>
    <row r="226" spans="1:10" x14ac:dyDescent="0.3">
      <c r="A226" s="4" t="s">
        <v>412</v>
      </c>
      <c r="B226" s="5" t="s">
        <v>413</v>
      </c>
      <c r="C226" s="4" t="s">
        <v>24</v>
      </c>
      <c r="D226" s="4" t="s">
        <v>37</v>
      </c>
      <c r="E226" s="4" t="s">
        <v>17</v>
      </c>
      <c r="F226" s="4">
        <v>1608.64</v>
      </c>
      <c r="G226" s="4">
        <v>379.18</v>
      </c>
      <c r="H226" s="4">
        <v>5</v>
      </c>
      <c r="I226" s="6">
        <f t="shared" si="6"/>
        <v>0.23571464093892977</v>
      </c>
      <c r="J226" t="str">
        <f t="shared" si="7"/>
        <v>Jul-2025</v>
      </c>
    </row>
    <row r="227" spans="1:10" x14ac:dyDescent="0.3">
      <c r="A227" s="4" t="s">
        <v>414</v>
      </c>
      <c r="B227" s="5" t="s">
        <v>415</v>
      </c>
      <c r="C227" s="4" t="s">
        <v>34</v>
      </c>
      <c r="D227" s="4" t="s">
        <v>46</v>
      </c>
      <c r="E227" s="4" t="s">
        <v>41</v>
      </c>
      <c r="F227" s="4">
        <v>1814.31</v>
      </c>
      <c r="G227" s="4">
        <v>162.63</v>
      </c>
      <c r="H227" s="4">
        <v>3</v>
      </c>
      <c r="I227" s="6">
        <f t="shared" si="6"/>
        <v>8.9637382806686844E-2</v>
      </c>
      <c r="J227" t="str">
        <f t="shared" si="7"/>
        <v>Jan-2025</v>
      </c>
    </row>
    <row r="228" spans="1:10" x14ac:dyDescent="0.3">
      <c r="A228" s="4" t="s">
        <v>416</v>
      </c>
      <c r="B228" s="5" t="s">
        <v>417</v>
      </c>
      <c r="C228" s="4" t="s">
        <v>15</v>
      </c>
      <c r="D228" s="4" t="s">
        <v>46</v>
      </c>
      <c r="E228" s="4" t="s">
        <v>41</v>
      </c>
      <c r="F228" s="4">
        <v>2243</v>
      </c>
      <c r="G228" s="4">
        <v>710.57</v>
      </c>
      <c r="H228" s="4">
        <v>3</v>
      </c>
      <c r="I228" s="6">
        <f t="shared" si="6"/>
        <v>0.31679447168970132</v>
      </c>
      <c r="J228" t="str">
        <f t="shared" si="7"/>
        <v>Mar-2025</v>
      </c>
    </row>
    <row r="229" spans="1:10" x14ac:dyDescent="0.3">
      <c r="A229" s="4" t="s">
        <v>418</v>
      </c>
      <c r="B229" s="5" t="s">
        <v>419</v>
      </c>
      <c r="C229" s="4" t="s">
        <v>10</v>
      </c>
      <c r="D229" s="4" t="s">
        <v>95</v>
      </c>
      <c r="E229" s="4" t="s">
        <v>17</v>
      </c>
      <c r="F229" s="4">
        <v>1236.55</v>
      </c>
      <c r="G229" s="4">
        <v>301.33999999999997</v>
      </c>
      <c r="H229" s="4">
        <v>2</v>
      </c>
      <c r="I229" s="6">
        <f t="shared" si="6"/>
        <v>0.24369414904371031</v>
      </c>
      <c r="J229" t="str">
        <f t="shared" si="7"/>
        <v>Jul-2025</v>
      </c>
    </row>
    <row r="230" spans="1:10" x14ac:dyDescent="0.3">
      <c r="A230" s="4" t="s">
        <v>420</v>
      </c>
      <c r="B230" s="5" t="s">
        <v>421</v>
      </c>
      <c r="C230" s="4" t="s">
        <v>15</v>
      </c>
      <c r="D230" s="4" t="s">
        <v>37</v>
      </c>
      <c r="E230" s="4" t="s">
        <v>17</v>
      </c>
      <c r="F230" s="4">
        <v>4792.71</v>
      </c>
      <c r="G230" s="4">
        <v>1464.27</v>
      </c>
      <c r="H230" s="4">
        <v>8</v>
      </c>
      <c r="I230" s="6">
        <f t="shared" si="6"/>
        <v>0.30552025889319401</v>
      </c>
      <c r="J230" t="str">
        <f t="shared" si="7"/>
        <v>Oct-2025</v>
      </c>
    </row>
    <row r="231" spans="1:10" x14ac:dyDescent="0.3">
      <c r="A231" s="4" t="s">
        <v>422</v>
      </c>
      <c r="B231" s="5" t="s">
        <v>423</v>
      </c>
      <c r="C231" s="4" t="s">
        <v>10</v>
      </c>
      <c r="D231" s="4" t="s">
        <v>16</v>
      </c>
      <c r="E231" s="4" t="s">
        <v>17</v>
      </c>
      <c r="F231" s="4">
        <v>1473.29</v>
      </c>
      <c r="G231" s="4">
        <v>84.28</v>
      </c>
      <c r="H231" s="4">
        <v>2</v>
      </c>
      <c r="I231" s="6">
        <f t="shared" si="6"/>
        <v>5.7205302418396921E-2</v>
      </c>
      <c r="J231" t="str">
        <f t="shared" si="7"/>
        <v>Feb-2025</v>
      </c>
    </row>
    <row r="232" spans="1:10" x14ac:dyDescent="0.3">
      <c r="A232" s="4" t="s">
        <v>424</v>
      </c>
      <c r="B232" s="5" t="s">
        <v>425</v>
      </c>
      <c r="C232" s="4" t="s">
        <v>10</v>
      </c>
      <c r="D232" s="4" t="s">
        <v>37</v>
      </c>
      <c r="E232" s="4" t="s">
        <v>17</v>
      </c>
      <c r="F232" s="4">
        <v>567.52</v>
      </c>
      <c r="G232" s="4">
        <v>78.900000000000006</v>
      </c>
      <c r="H232" s="4">
        <v>4</v>
      </c>
      <c r="I232" s="6">
        <f t="shared" si="6"/>
        <v>0.13902593741189739</v>
      </c>
      <c r="J232" t="str">
        <f t="shared" si="7"/>
        <v>Jan-2025</v>
      </c>
    </row>
    <row r="233" spans="1:10" x14ac:dyDescent="0.3">
      <c r="A233" s="4" t="s">
        <v>426</v>
      </c>
      <c r="B233" s="5" t="s">
        <v>427</v>
      </c>
      <c r="C233" s="4" t="s">
        <v>15</v>
      </c>
      <c r="D233" s="4" t="s">
        <v>95</v>
      </c>
      <c r="E233" s="4" t="s">
        <v>17</v>
      </c>
      <c r="F233" s="4">
        <v>1061.1600000000001</v>
      </c>
      <c r="G233" s="4">
        <v>86.99</v>
      </c>
      <c r="H233" s="4">
        <v>10</v>
      </c>
      <c r="I233" s="6">
        <f t="shared" si="6"/>
        <v>8.1976327792227369E-2</v>
      </c>
      <c r="J233" t="str">
        <f t="shared" si="7"/>
        <v>Jul-2025</v>
      </c>
    </row>
    <row r="234" spans="1:10" x14ac:dyDescent="0.3">
      <c r="A234" s="4" t="s">
        <v>428</v>
      </c>
      <c r="B234" s="5" t="s">
        <v>429</v>
      </c>
      <c r="C234" s="4" t="s">
        <v>24</v>
      </c>
      <c r="D234" s="4" t="s">
        <v>27</v>
      </c>
      <c r="E234" s="4" t="s">
        <v>12</v>
      </c>
      <c r="F234" s="4">
        <v>4440.84</v>
      </c>
      <c r="G234" s="4">
        <v>793.46</v>
      </c>
      <c r="H234" s="4">
        <v>3</v>
      </c>
      <c r="I234" s="6">
        <f t="shared" si="6"/>
        <v>0.17867340413075003</v>
      </c>
      <c r="J234" t="str">
        <f t="shared" si="7"/>
        <v>Jan-2025</v>
      </c>
    </row>
    <row r="235" spans="1:10" x14ac:dyDescent="0.3">
      <c r="A235" s="4" t="s">
        <v>430</v>
      </c>
      <c r="B235" s="5" t="s">
        <v>431</v>
      </c>
      <c r="C235" s="4" t="s">
        <v>15</v>
      </c>
      <c r="D235" s="4" t="s">
        <v>46</v>
      </c>
      <c r="E235" s="4" t="s">
        <v>41</v>
      </c>
      <c r="F235" s="4">
        <v>895.3</v>
      </c>
      <c r="G235" s="4">
        <v>77.27</v>
      </c>
      <c r="H235" s="4">
        <v>7</v>
      </c>
      <c r="I235" s="6">
        <f t="shared" si="6"/>
        <v>8.6306266056070585E-2</v>
      </c>
      <c r="J235" t="str">
        <f t="shared" si="7"/>
        <v>Mar-2025</v>
      </c>
    </row>
    <row r="236" spans="1:10" x14ac:dyDescent="0.3">
      <c r="A236" s="4" t="s">
        <v>432</v>
      </c>
      <c r="B236" s="5" t="s">
        <v>421</v>
      </c>
      <c r="C236" s="4" t="s">
        <v>24</v>
      </c>
      <c r="D236" s="4" t="s">
        <v>40</v>
      </c>
      <c r="E236" s="4" t="s">
        <v>41</v>
      </c>
      <c r="F236" s="4">
        <v>1740.06</v>
      </c>
      <c r="G236" s="4">
        <v>238.62</v>
      </c>
      <c r="H236" s="4">
        <v>4</v>
      </c>
      <c r="I236" s="6">
        <f t="shared" si="6"/>
        <v>0.13713320230336887</v>
      </c>
      <c r="J236" t="str">
        <f t="shared" si="7"/>
        <v>Oct-2025</v>
      </c>
    </row>
    <row r="237" spans="1:10" x14ac:dyDescent="0.3">
      <c r="A237" s="4" t="s">
        <v>433</v>
      </c>
      <c r="B237" s="5" t="s">
        <v>434</v>
      </c>
      <c r="C237" s="4" t="s">
        <v>34</v>
      </c>
      <c r="D237" s="4" t="s">
        <v>16</v>
      </c>
      <c r="E237" s="4" t="s">
        <v>17</v>
      </c>
      <c r="F237" s="4">
        <v>2625.09</v>
      </c>
      <c r="G237" s="4">
        <v>335.9</v>
      </c>
      <c r="H237" s="4">
        <v>3</v>
      </c>
      <c r="I237" s="6">
        <f t="shared" si="6"/>
        <v>0.12795751764701399</v>
      </c>
      <c r="J237" t="str">
        <f t="shared" si="7"/>
        <v>Oct-2025</v>
      </c>
    </row>
    <row r="238" spans="1:10" x14ac:dyDescent="0.3">
      <c r="A238" s="4" t="s">
        <v>435</v>
      </c>
      <c r="B238" s="5" t="s">
        <v>125</v>
      </c>
      <c r="C238" s="4" t="s">
        <v>15</v>
      </c>
      <c r="D238" s="4" t="s">
        <v>11</v>
      </c>
      <c r="E238" s="4" t="s">
        <v>12</v>
      </c>
      <c r="F238" s="4">
        <v>1910.4</v>
      </c>
      <c r="G238" s="4">
        <v>193.42</v>
      </c>
      <c r="H238" s="4">
        <v>3</v>
      </c>
      <c r="I238" s="6">
        <f t="shared" si="6"/>
        <v>0.10124581239530987</v>
      </c>
      <c r="J238" t="str">
        <f t="shared" si="7"/>
        <v>Mar-2025</v>
      </c>
    </row>
    <row r="239" spans="1:10" x14ac:dyDescent="0.3">
      <c r="A239" s="4" t="s">
        <v>436</v>
      </c>
      <c r="B239" s="5" t="s">
        <v>246</v>
      </c>
      <c r="C239" s="4" t="s">
        <v>34</v>
      </c>
      <c r="D239" s="4" t="s">
        <v>16</v>
      </c>
      <c r="E239" s="4" t="s">
        <v>17</v>
      </c>
      <c r="F239" s="4">
        <v>4603.12</v>
      </c>
      <c r="G239" s="4">
        <v>1603.05</v>
      </c>
      <c r="H239" s="4">
        <v>6</v>
      </c>
      <c r="I239" s="6">
        <f t="shared" si="6"/>
        <v>0.34825292410365144</v>
      </c>
      <c r="J239" t="str">
        <f t="shared" si="7"/>
        <v>Jan-2025</v>
      </c>
    </row>
    <row r="240" spans="1:10" x14ac:dyDescent="0.3">
      <c r="A240" s="4" t="s">
        <v>437</v>
      </c>
      <c r="B240" s="5" t="s">
        <v>306</v>
      </c>
      <c r="C240" s="4" t="s">
        <v>15</v>
      </c>
      <c r="D240" s="4" t="s">
        <v>27</v>
      </c>
      <c r="E240" s="4" t="s">
        <v>12</v>
      </c>
      <c r="F240" s="4">
        <v>2081.6799999999998</v>
      </c>
      <c r="G240" s="4">
        <v>290.23</v>
      </c>
      <c r="H240" s="4">
        <v>2</v>
      </c>
      <c r="I240" s="6">
        <f t="shared" si="6"/>
        <v>0.13942104454094773</v>
      </c>
      <c r="J240" t="str">
        <f t="shared" si="7"/>
        <v>Oct-2025</v>
      </c>
    </row>
    <row r="241" spans="1:10" x14ac:dyDescent="0.3">
      <c r="A241" s="4" t="s">
        <v>438</v>
      </c>
      <c r="B241" s="5" t="s">
        <v>439</v>
      </c>
      <c r="C241" s="4" t="s">
        <v>15</v>
      </c>
      <c r="D241" s="4" t="s">
        <v>27</v>
      </c>
      <c r="E241" s="4" t="s">
        <v>12</v>
      </c>
      <c r="F241" s="4">
        <v>1221.6300000000001</v>
      </c>
      <c r="G241" s="4">
        <v>245.41</v>
      </c>
      <c r="H241" s="4">
        <v>1</v>
      </c>
      <c r="I241" s="6">
        <f t="shared" si="6"/>
        <v>0.20088733904701095</v>
      </c>
      <c r="J241" t="str">
        <f t="shared" si="7"/>
        <v>Mar-2025</v>
      </c>
    </row>
    <row r="242" spans="1:10" x14ac:dyDescent="0.3">
      <c r="A242" s="4" t="s">
        <v>440</v>
      </c>
      <c r="B242" s="5" t="s">
        <v>441</v>
      </c>
      <c r="C242" s="4" t="s">
        <v>10</v>
      </c>
      <c r="D242" s="4" t="s">
        <v>40</v>
      </c>
      <c r="E242" s="4" t="s">
        <v>41</v>
      </c>
      <c r="F242" s="4">
        <v>3032.26</v>
      </c>
      <c r="G242" s="4">
        <v>704.52</v>
      </c>
      <c r="H242" s="4">
        <v>7</v>
      </c>
      <c r="I242" s="6">
        <f t="shared" si="6"/>
        <v>0.23234155382454008</v>
      </c>
      <c r="J242" t="str">
        <f t="shared" si="7"/>
        <v>Jan-2025</v>
      </c>
    </row>
    <row r="243" spans="1:10" x14ac:dyDescent="0.3">
      <c r="A243" s="4" t="s">
        <v>442</v>
      </c>
      <c r="B243" s="5" t="s">
        <v>186</v>
      </c>
      <c r="C243" s="4" t="s">
        <v>24</v>
      </c>
      <c r="D243" s="4" t="s">
        <v>46</v>
      </c>
      <c r="E243" s="4" t="s">
        <v>41</v>
      </c>
      <c r="F243" s="4">
        <v>3745.62</v>
      </c>
      <c r="G243" s="4">
        <v>1011.08</v>
      </c>
      <c r="H243" s="4">
        <v>10</v>
      </c>
      <c r="I243" s="6">
        <f t="shared" si="6"/>
        <v>0.26993661930468121</v>
      </c>
      <c r="J243" t="str">
        <f t="shared" si="7"/>
        <v>Aug-2025</v>
      </c>
    </row>
    <row r="244" spans="1:10" x14ac:dyDescent="0.3">
      <c r="A244" s="4" t="s">
        <v>443</v>
      </c>
      <c r="B244" s="5" t="s">
        <v>389</v>
      </c>
      <c r="C244" s="4" t="s">
        <v>34</v>
      </c>
      <c r="D244" s="4" t="s">
        <v>95</v>
      </c>
      <c r="E244" s="4" t="s">
        <v>17</v>
      </c>
      <c r="F244" s="4">
        <v>4535.3900000000003</v>
      </c>
      <c r="G244" s="4">
        <v>712.25</v>
      </c>
      <c r="H244" s="4">
        <v>2</v>
      </c>
      <c r="I244" s="6">
        <f t="shared" si="6"/>
        <v>0.15704272399947963</v>
      </c>
      <c r="J244" t="str">
        <f t="shared" si="7"/>
        <v>Dec-2025</v>
      </c>
    </row>
    <row r="245" spans="1:10" x14ac:dyDescent="0.3">
      <c r="A245" s="4" t="s">
        <v>444</v>
      </c>
      <c r="B245" s="5" t="s">
        <v>445</v>
      </c>
      <c r="C245" s="4" t="s">
        <v>34</v>
      </c>
      <c r="D245" s="4" t="s">
        <v>95</v>
      </c>
      <c r="E245" s="4" t="s">
        <v>17</v>
      </c>
      <c r="F245" s="4">
        <v>4509.17</v>
      </c>
      <c r="G245" s="4">
        <v>1556.02</v>
      </c>
      <c r="H245" s="4">
        <v>7</v>
      </c>
      <c r="I245" s="6">
        <f t="shared" si="6"/>
        <v>0.34507902784769701</v>
      </c>
      <c r="J245" t="str">
        <f t="shared" si="7"/>
        <v>Nov-2025</v>
      </c>
    </row>
    <row r="246" spans="1:10" x14ac:dyDescent="0.3">
      <c r="A246" s="4" t="s">
        <v>446</v>
      </c>
      <c r="B246" s="5" t="s">
        <v>308</v>
      </c>
      <c r="C246" s="4" t="s">
        <v>10</v>
      </c>
      <c r="D246" s="4" t="s">
        <v>27</v>
      </c>
      <c r="E246" s="4" t="s">
        <v>12</v>
      </c>
      <c r="F246" s="4">
        <v>598.59</v>
      </c>
      <c r="G246" s="4">
        <v>138.19</v>
      </c>
      <c r="H246" s="4">
        <v>2</v>
      </c>
      <c r="I246" s="6">
        <f t="shared" si="6"/>
        <v>0.23085918575318665</v>
      </c>
      <c r="J246" t="str">
        <f t="shared" si="7"/>
        <v>Feb-2025</v>
      </c>
    </row>
    <row r="247" spans="1:10" x14ac:dyDescent="0.3">
      <c r="A247" s="4" t="s">
        <v>447</v>
      </c>
      <c r="B247" s="5" t="s">
        <v>448</v>
      </c>
      <c r="C247" s="4" t="s">
        <v>15</v>
      </c>
      <c r="D247" s="4" t="s">
        <v>95</v>
      </c>
      <c r="E247" s="4" t="s">
        <v>17</v>
      </c>
      <c r="F247" s="4">
        <v>2386.58</v>
      </c>
      <c r="G247" s="4">
        <v>298.82</v>
      </c>
      <c r="H247" s="4">
        <v>3</v>
      </c>
      <c r="I247" s="6">
        <f t="shared" si="6"/>
        <v>0.12520845729034855</v>
      </c>
      <c r="J247" t="str">
        <f t="shared" si="7"/>
        <v>Dec-2025</v>
      </c>
    </row>
    <row r="248" spans="1:10" x14ac:dyDescent="0.3">
      <c r="A248" s="4" t="s">
        <v>449</v>
      </c>
      <c r="B248" s="5" t="s">
        <v>450</v>
      </c>
      <c r="C248" s="4" t="s">
        <v>15</v>
      </c>
      <c r="D248" s="4" t="s">
        <v>27</v>
      </c>
      <c r="E248" s="4" t="s">
        <v>12</v>
      </c>
      <c r="F248" s="4">
        <v>4032.64</v>
      </c>
      <c r="G248" s="4">
        <v>1356.29</v>
      </c>
      <c r="H248" s="4">
        <v>3</v>
      </c>
      <c r="I248" s="6">
        <f t="shared" si="6"/>
        <v>0.33632806300587209</v>
      </c>
      <c r="J248" t="str">
        <f t="shared" si="7"/>
        <v>Aug-2025</v>
      </c>
    </row>
    <row r="249" spans="1:10" x14ac:dyDescent="0.3">
      <c r="A249" s="4" t="s">
        <v>451</v>
      </c>
      <c r="B249" s="5" t="s">
        <v>452</v>
      </c>
      <c r="C249" s="4" t="s">
        <v>10</v>
      </c>
      <c r="D249" s="4" t="s">
        <v>16</v>
      </c>
      <c r="E249" s="4" t="s">
        <v>17</v>
      </c>
      <c r="F249" s="4">
        <v>1164.69</v>
      </c>
      <c r="G249" s="4">
        <v>68.91</v>
      </c>
      <c r="H249" s="4">
        <v>5</v>
      </c>
      <c r="I249" s="6">
        <f t="shared" si="6"/>
        <v>5.9165958323674106E-2</v>
      </c>
      <c r="J249" t="str">
        <f t="shared" si="7"/>
        <v>Sep-2025</v>
      </c>
    </row>
    <row r="250" spans="1:10" x14ac:dyDescent="0.3">
      <c r="A250" s="4" t="s">
        <v>453</v>
      </c>
      <c r="B250" s="5" t="s">
        <v>454</v>
      </c>
      <c r="C250" s="4" t="s">
        <v>10</v>
      </c>
      <c r="D250" s="4" t="s">
        <v>20</v>
      </c>
      <c r="E250" s="4" t="s">
        <v>12</v>
      </c>
      <c r="F250" s="4">
        <v>4923.0200000000004</v>
      </c>
      <c r="G250" s="4">
        <v>1337.48</v>
      </c>
      <c r="H250" s="4">
        <v>9</v>
      </c>
      <c r="I250" s="6">
        <f t="shared" si="6"/>
        <v>0.27167876628573517</v>
      </c>
      <c r="J250" t="str">
        <f t="shared" si="7"/>
        <v>Jun-2025</v>
      </c>
    </row>
    <row r="251" spans="1:10" x14ac:dyDescent="0.3">
      <c r="A251" s="4" t="s">
        <v>455</v>
      </c>
      <c r="B251" s="5" t="s">
        <v>233</v>
      </c>
      <c r="C251" s="4" t="s">
        <v>34</v>
      </c>
      <c r="D251" s="4" t="s">
        <v>27</v>
      </c>
      <c r="E251" s="4" t="s">
        <v>12</v>
      </c>
      <c r="F251" s="4">
        <v>518.87</v>
      </c>
      <c r="G251" s="4">
        <v>126.6</v>
      </c>
      <c r="H251" s="4">
        <v>2</v>
      </c>
      <c r="I251" s="6">
        <f t="shared" si="6"/>
        <v>0.24399175130572204</v>
      </c>
      <c r="J251" t="str">
        <f t="shared" si="7"/>
        <v>Aug-2025</v>
      </c>
    </row>
    <row r="252" spans="1:10" x14ac:dyDescent="0.3">
      <c r="A252" s="4" t="s">
        <v>456</v>
      </c>
      <c r="B252" s="5" t="s">
        <v>457</v>
      </c>
      <c r="C252" s="4" t="s">
        <v>34</v>
      </c>
      <c r="D252" s="4" t="s">
        <v>37</v>
      </c>
      <c r="E252" s="4" t="s">
        <v>17</v>
      </c>
      <c r="F252" s="4">
        <v>3621.55</v>
      </c>
      <c r="G252" s="4">
        <v>507.21</v>
      </c>
      <c r="H252" s="4">
        <v>7</v>
      </c>
      <c r="I252" s="6">
        <f t="shared" si="6"/>
        <v>0.14005329209868703</v>
      </c>
      <c r="J252" t="str">
        <f t="shared" si="7"/>
        <v>Sep-2025</v>
      </c>
    </row>
    <row r="253" spans="1:10" x14ac:dyDescent="0.3">
      <c r="A253" s="4" t="s">
        <v>458</v>
      </c>
      <c r="B253" s="5" t="s">
        <v>105</v>
      </c>
      <c r="C253" s="4" t="s">
        <v>24</v>
      </c>
      <c r="D253" s="4" t="s">
        <v>20</v>
      </c>
      <c r="E253" s="4" t="s">
        <v>12</v>
      </c>
      <c r="F253" s="4">
        <v>4502.37</v>
      </c>
      <c r="G253" s="4">
        <v>1522.81</v>
      </c>
      <c r="H253" s="4">
        <v>9</v>
      </c>
      <c r="I253" s="6">
        <f t="shared" si="6"/>
        <v>0.33822409086769856</v>
      </c>
      <c r="J253" t="str">
        <f t="shared" si="7"/>
        <v>Mar-2025</v>
      </c>
    </row>
    <row r="254" spans="1:10" x14ac:dyDescent="0.3">
      <c r="A254" s="4" t="s">
        <v>459</v>
      </c>
      <c r="B254" s="5" t="s">
        <v>460</v>
      </c>
      <c r="C254" s="4" t="s">
        <v>15</v>
      </c>
      <c r="D254" s="4" t="s">
        <v>95</v>
      </c>
      <c r="E254" s="4" t="s">
        <v>17</v>
      </c>
      <c r="F254" s="4">
        <v>3063.89</v>
      </c>
      <c r="G254" s="4">
        <v>171.88</v>
      </c>
      <c r="H254" s="4">
        <v>1</v>
      </c>
      <c r="I254" s="6">
        <f t="shared" si="6"/>
        <v>5.6098619728515056E-2</v>
      </c>
      <c r="J254" t="str">
        <f t="shared" si="7"/>
        <v>Mar-2025</v>
      </c>
    </row>
    <row r="255" spans="1:10" x14ac:dyDescent="0.3">
      <c r="A255" s="4" t="s">
        <v>461</v>
      </c>
      <c r="B255" s="5" t="s">
        <v>239</v>
      </c>
      <c r="C255" s="4" t="s">
        <v>15</v>
      </c>
      <c r="D255" s="4" t="s">
        <v>37</v>
      </c>
      <c r="E255" s="4" t="s">
        <v>17</v>
      </c>
      <c r="F255" s="4">
        <v>4226.68</v>
      </c>
      <c r="G255" s="4">
        <v>263.89999999999998</v>
      </c>
      <c r="H255" s="4">
        <v>5</v>
      </c>
      <c r="I255" s="6">
        <f t="shared" si="6"/>
        <v>6.2436711556114959E-2</v>
      </c>
      <c r="J255" t="str">
        <f t="shared" si="7"/>
        <v>Aug-2025</v>
      </c>
    </row>
    <row r="256" spans="1:10" x14ac:dyDescent="0.3">
      <c r="A256" s="4" t="s">
        <v>462</v>
      </c>
      <c r="B256" s="5" t="s">
        <v>463</v>
      </c>
      <c r="C256" s="4" t="s">
        <v>15</v>
      </c>
      <c r="D256" s="4" t="s">
        <v>40</v>
      </c>
      <c r="E256" s="4" t="s">
        <v>41</v>
      </c>
      <c r="F256" s="4">
        <v>3118.94</v>
      </c>
      <c r="G256" s="4">
        <v>848.43</v>
      </c>
      <c r="H256" s="4">
        <v>1</v>
      </c>
      <c r="I256" s="6">
        <f t="shared" si="6"/>
        <v>0.27202511109543626</v>
      </c>
      <c r="J256" t="str">
        <f t="shared" si="7"/>
        <v>Oct-2025</v>
      </c>
    </row>
    <row r="257" spans="1:10" x14ac:dyDescent="0.3">
      <c r="A257" s="4" t="s">
        <v>464</v>
      </c>
      <c r="B257" s="5" t="s">
        <v>465</v>
      </c>
      <c r="C257" s="4" t="s">
        <v>10</v>
      </c>
      <c r="D257" s="4" t="s">
        <v>37</v>
      </c>
      <c r="E257" s="4" t="s">
        <v>17</v>
      </c>
      <c r="F257" s="4">
        <v>4033.34</v>
      </c>
      <c r="G257" s="4">
        <v>1370.99</v>
      </c>
      <c r="H257" s="4">
        <v>8</v>
      </c>
      <c r="I257" s="6">
        <f t="shared" si="6"/>
        <v>0.3399143141912162</v>
      </c>
      <c r="J257" t="str">
        <f t="shared" si="7"/>
        <v>Sep-2025</v>
      </c>
    </row>
    <row r="258" spans="1:10" x14ac:dyDescent="0.3">
      <c r="A258" s="4" t="s">
        <v>466</v>
      </c>
      <c r="B258" s="5" t="s">
        <v>467</v>
      </c>
      <c r="C258" s="4" t="s">
        <v>15</v>
      </c>
      <c r="D258" s="4" t="s">
        <v>37</v>
      </c>
      <c r="E258" s="4" t="s">
        <v>17</v>
      </c>
      <c r="F258" s="4">
        <v>295.22000000000003</v>
      </c>
      <c r="G258" s="4">
        <v>48.31</v>
      </c>
      <c r="H258" s="4">
        <v>5</v>
      </c>
      <c r="I258" s="6">
        <f t="shared" si="6"/>
        <v>0.16364067475103311</v>
      </c>
      <c r="J258" t="str">
        <f t="shared" si="7"/>
        <v>Nov-2025</v>
      </c>
    </row>
    <row r="259" spans="1:10" x14ac:dyDescent="0.3">
      <c r="A259" s="4" t="s">
        <v>468</v>
      </c>
      <c r="B259" s="5" t="s">
        <v>469</v>
      </c>
      <c r="C259" s="4" t="s">
        <v>24</v>
      </c>
      <c r="D259" s="4" t="s">
        <v>46</v>
      </c>
      <c r="E259" s="4" t="s">
        <v>41</v>
      </c>
      <c r="F259" s="4">
        <v>1423.44</v>
      </c>
      <c r="G259" s="4">
        <v>479.18</v>
      </c>
      <c r="H259" s="4">
        <v>8</v>
      </c>
      <c r="I259" s="6">
        <f t="shared" ref="I259:I322" si="8">G259/F259</f>
        <v>0.33663519361546673</v>
      </c>
      <c r="J259" t="str">
        <f t="shared" ref="J259:J322" si="9">TEXT(B259,"mmm-yyyy")</f>
        <v>Feb-2025</v>
      </c>
    </row>
    <row r="260" spans="1:10" x14ac:dyDescent="0.3">
      <c r="A260" s="4" t="s">
        <v>470</v>
      </c>
      <c r="B260" s="5" t="s">
        <v>224</v>
      </c>
      <c r="C260" s="4" t="s">
        <v>24</v>
      </c>
      <c r="D260" s="4" t="s">
        <v>20</v>
      </c>
      <c r="E260" s="4" t="s">
        <v>12</v>
      </c>
      <c r="F260" s="4">
        <v>2438.08</v>
      </c>
      <c r="G260" s="4">
        <v>311.83</v>
      </c>
      <c r="H260" s="4">
        <v>8</v>
      </c>
      <c r="I260" s="6">
        <f t="shared" si="8"/>
        <v>0.12789982281139256</v>
      </c>
      <c r="J260" t="str">
        <f t="shared" si="9"/>
        <v>Jun-2025</v>
      </c>
    </row>
    <row r="261" spans="1:10" x14ac:dyDescent="0.3">
      <c r="A261" s="4" t="s">
        <v>471</v>
      </c>
      <c r="B261" s="5" t="s">
        <v>167</v>
      </c>
      <c r="C261" s="4" t="s">
        <v>34</v>
      </c>
      <c r="D261" s="4" t="s">
        <v>16</v>
      </c>
      <c r="E261" s="4" t="s">
        <v>17</v>
      </c>
      <c r="F261" s="4">
        <v>1464.81</v>
      </c>
      <c r="G261" s="4">
        <v>277.77</v>
      </c>
      <c r="H261" s="4">
        <v>5</v>
      </c>
      <c r="I261" s="6">
        <f t="shared" si="8"/>
        <v>0.18962868904499558</v>
      </c>
      <c r="J261" t="str">
        <f t="shared" si="9"/>
        <v>Apr-2025</v>
      </c>
    </row>
    <row r="262" spans="1:10" x14ac:dyDescent="0.3">
      <c r="A262" s="4" t="s">
        <v>472</v>
      </c>
      <c r="B262" s="5" t="s">
        <v>163</v>
      </c>
      <c r="C262" s="4" t="s">
        <v>15</v>
      </c>
      <c r="D262" s="4" t="s">
        <v>16</v>
      </c>
      <c r="E262" s="4" t="s">
        <v>17</v>
      </c>
      <c r="F262" s="4">
        <v>2080.44</v>
      </c>
      <c r="G262" s="4">
        <v>173.2</v>
      </c>
      <c r="H262" s="4">
        <v>8</v>
      </c>
      <c r="I262" s="6">
        <f t="shared" si="8"/>
        <v>8.3251619849647185E-2</v>
      </c>
      <c r="J262" t="str">
        <f t="shared" si="9"/>
        <v>Sep-2025</v>
      </c>
    </row>
    <row r="263" spans="1:10" x14ac:dyDescent="0.3">
      <c r="A263" s="4" t="s">
        <v>473</v>
      </c>
      <c r="B263" s="5" t="s">
        <v>186</v>
      </c>
      <c r="C263" s="4" t="s">
        <v>24</v>
      </c>
      <c r="D263" s="4" t="s">
        <v>11</v>
      </c>
      <c r="E263" s="4" t="s">
        <v>12</v>
      </c>
      <c r="F263" s="4">
        <v>1998.16</v>
      </c>
      <c r="G263" s="4">
        <v>158.81</v>
      </c>
      <c r="H263" s="4">
        <v>10</v>
      </c>
      <c r="I263" s="6">
        <f t="shared" si="8"/>
        <v>7.9478119870280653E-2</v>
      </c>
      <c r="J263" t="str">
        <f t="shared" si="9"/>
        <v>Aug-2025</v>
      </c>
    </row>
    <row r="264" spans="1:10" x14ac:dyDescent="0.3">
      <c r="A264" s="4" t="s">
        <v>474</v>
      </c>
      <c r="B264" s="5" t="s">
        <v>319</v>
      </c>
      <c r="C264" s="4" t="s">
        <v>10</v>
      </c>
      <c r="D264" s="4" t="s">
        <v>16</v>
      </c>
      <c r="E264" s="4" t="s">
        <v>17</v>
      </c>
      <c r="F264" s="4">
        <v>3757.44</v>
      </c>
      <c r="G264" s="4">
        <v>660.46</v>
      </c>
      <c r="H264" s="4">
        <v>6</v>
      </c>
      <c r="I264" s="6">
        <f t="shared" si="8"/>
        <v>0.17577393118719128</v>
      </c>
      <c r="J264" t="str">
        <f t="shared" si="9"/>
        <v>Sep-2025</v>
      </c>
    </row>
    <row r="265" spans="1:10" x14ac:dyDescent="0.3">
      <c r="A265" s="4" t="s">
        <v>475</v>
      </c>
      <c r="B265" s="5" t="s">
        <v>476</v>
      </c>
      <c r="C265" s="4" t="s">
        <v>15</v>
      </c>
      <c r="D265" s="4" t="s">
        <v>37</v>
      </c>
      <c r="E265" s="4" t="s">
        <v>17</v>
      </c>
      <c r="F265" s="4">
        <v>1256.74</v>
      </c>
      <c r="G265" s="4">
        <v>295.87</v>
      </c>
      <c r="H265" s="4">
        <v>8</v>
      </c>
      <c r="I265" s="6">
        <f t="shared" si="8"/>
        <v>0.23542657988128013</v>
      </c>
      <c r="J265" t="str">
        <f t="shared" si="9"/>
        <v>Dec-2025</v>
      </c>
    </row>
    <row r="266" spans="1:10" x14ac:dyDescent="0.3">
      <c r="A266" s="4" t="s">
        <v>477</v>
      </c>
      <c r="B266" s="5" t="s">
        <v>478</v>
      </c>
      <c r="C266" s="4" t="s">
        <v>15</v>
      </c>
      <c r="D266" s="4" t="s">
        <v>27</v>
      </c>
      <c r="E266" s="4" t="s">
        <v>12</v>
      </c>
      <c r="F266" s="4">
        <v>1427.32</v>
      </c>
      <c r="G266" s="4">
        <v>488.68</v>
      </c>
      <c r="H266" s="4">
        <v>4</v>
      </c>
      <c r="I266" s="6">
        <f t="shared" si="8"/>
        <v>0.34237592130706501</v>
      </c>
      <c r="J266" t="str">
        <f t="shared" si="9"/>
        <v>Jul-2025</v>
      </c>
    </row>
    <row r="267" spans="1:10" x14ac:dyDescent="0.3">
      <c r="A267" s="4" t="s">
        <v>479</v>
      </c>
      <c r="B267" s="5" t="s">
        <v>480</v>
      </c>
      <c r="C267" s="4" t="s">
        <v>34</v>
      </c>
      <c r="D267" s="4" t="s">
        <v>20</v>
      </c>
      <c r="E267" s="4" t="s">
        <v>12</v>
      </c>
      <c r="F267" s="4">
        <v>3639.23</v>
      </c>
      <c r="G267" s="4">
        <v>685.12</v>
      </c>
      <c r="H267" s="4">
        <v>9</v>
      </c>
      <c r="I267" s="6">
        <f t="shared" si="8"/>
        <v>0.18825960436685782</v>
      </c>
      <c r="J267" t="str">
        <f t="shared" si="9"/>
        <v>Jul-2025</v>
      </c>
    </row>
    <row r="268" spans="1:10" x14ac:dyDescent="0.3">
      <c r="A268" s="4" t="s">
        <v>481</v>
      </c>
      <c r="B268" s="5" t="s">
        <v>482</v>
      </c>
      <c r="C268" s="4" t="s">
        <v>24</v>
      </c>
      <c r="D268" s="4" t="s">
        <v>27</v>
      </c>
      <c r="E268" s="4" t="s">
        <v>12</v>
      </c>
      <c r="F268" s="4">
        <v>3653.54</v>
      </c>
      <c r="G268" s="4">
        <v>276.64999999999998</v>
      </c>
      <c r="H268" s="4">
        <v>5</v>
      </c>
      <c r="I268" s="6">
        <f t="shared" si="8"/>
        <v>7.5721081471668575E-2</v>
      </c>
      <c r="J268" t="str">
        <f t="shared" si="9"/>
        <v>Jun-2025</v>
      </c>
    </row>
    <row r="269" spans="1:10" x14ac:dyDescent="0.3">
      <c r="A269" s="4" t="s">
        <v>483</v>
      </c>
      <c r="B269" s="5" t="s">
        <v>484</v>
      </c>
      <c r="C269" s="4" t="s">
        <v>10</v>
      </c>
      <c r="D269" s="4" t="s">
        <v>95</v>
      </c>
      <c r="E269" s="4" t="s">
        <v>17</v>
      </c>
      <c r="F269" s="4">
        <v>907.32</v>
      </c>
      <c r="G269" s="4">
        <v>214.25</v>
      </c>
      <c r="H269" s="4">
        <v>7</v>
      </c>
      <c r="I269" s="6">
        <f t="shared" si="8"/>
        <v>0.23613499096239474</v>
      </c>
      <c r="J269" t="str">
        <f t="shared" si="9"/>
        <v>Jun-2025</v>
      </c>
    </row>
    <row r="270" spans="1:10" x14ac:dyDescent="0.3">
      <c r="A270" s="4" t="s">
        <v>485</v>
      </c>
      <c r="B270" s="5" t="s">
        <v>90</v>
      </c>
      <c r="C270" s="4" t="s">
        <v>15</v>
      </c>
      <c r="D270" s="4" t="s">
        <v>46</v>
      </c>
      <c r="E270" s="4" t="s">
        <v>41</v>
      </c>
      <c r="F270" s="4">
        <v>600.09</v>
      </c>
      <c r="G270" s="4">
        <v>93.69</v>
      </c>
      <c r="H270" s="4">
        <v>1</v>
      </c>
      <c r="I270" s="6">
        <f t="shared" si="8"/>
        <v>0.15612658101284807</v>
      </c>
      <c r="J270" t="str">
        <f t="shared" si="9"/>
        <v>Aug-2025</v>
      </c>
    </row>
    <row r="271" spans="1:10" x14ac:dyDescent="0.3">
      <c r="A271" s="4" t="s">
        <v>486</v>
      </c>
      <c r="B271" s="5" t="s">
        <v>487</v>
      </c>
      <c r="C271" s="4" t="s">
        <v>34</v>
      </c>
      <c r="D271" s="4" t="s">
        <v>16</v>
      </c>
      <c r="E271" s="4" t="s">
        <v>17</v>
      </c>
      <c r="F271" s="4">
        <v>2120.4899999999998</v>
      </c>
      <c r="G271" s="4">
        <v>518.4</v>
      </c>
      <c r="H271" s="4">
        <v>9</v>
      </c>
      <c r="I271" s="6">
        <f t="shared" si="8"/>
        <v>0.24447179661304699</v>
      </c>
      <c r="J271" t="str">
        <f t="shared" si="9"/>
        <v>Jul-2025</v>
      </c>
    </row>
    <row r="272" spans="1:10" x14ac:dyDescent="0.3">
      <c r="A272" s="4" t="s">
        <v>488</v>
      </c>
      <c r="B272" s="5" t="s">
        <v>489</v>
      </c>
      <c r="C272" s="4" t="s">
        <v>15</v>
      </c>
      <c r="D272" s="4" t="s">
        <v>27</v>
      </c>
      <c r="E272" s="4" t="s">
        <v>12</v>
      </c>
      <c r="F272" s="4">
        <v>3002.41</v>
      </c>
      <c r="G272" s="4">
        <v>868.3</v>
      </c>
      <c r="H272" s="4">
        <v>2</v>
      </c>
      <c r="I272" s="6">
        <f t="shared" si="8"/>
        <v>0.28920100852315306</v>
      </c>
      <c r="J272" t="str">
        <f t="shared" si="9"/>
        <v>Mar-2025</v>
      </c>
    </row>
    <row r="273" spans="1:10" x14ac:dyDescent="0.3">
      <c r="A273" s="4" t="s">
        <v>490</v>
      </c>
      <c r="B273" s="5" t="s">
        <v>491</v>
      </c>
      <c r="C273" s="4" t="s">
        <v>34</v>
      </c>
      <c r="D273" s="4" t="s">
        <v>11</v>
      </c>
      <c r="E273" s="4" t="s">
        <v>12</v>
      </c>
      <c r="F273" s="4">
        <v>2234.2199999999998</v>
      </c>
      <c r="G273" s="4">
        <v>539.47</v>
      </c>
      <c r="H273" s="4">
        <v>7</v>
      </c>
      <c r="I273" s="6">
        <f t="shared" si="8"/>
        <v>0.24145786896545554</v>
      </c>
      <c r="J273" t="str">
        <f t="shared" si="9"/>
        <v>Oct-2025</v>
      </c>
    </row>
    <row r="274" spans="1:10" x14ac:dyDescent="0.3">
      <c r="A274" s="4" t="s">
        <v>492</v>
      </c>
      <c r="B274" s="5" t="s">
        <v>493</v>
      </c>
      <c r="C274" s="4" t="s">
        <v>34</v>
      </c>
      <c r="D274" s="4" t="s">
        <v>16</v>
      </c>
      <c r="E274" s="4" t="s">
        <v>17</v>
      </c>
      <c r="F274" s="4">
        <v>3723.54</v>
      </c>
      <c r="G274" s="4">
        <v>946.14</v>
      </c>
      <c r="H274" s="4">
        <v>6</v>
      </c>
      <c r="I274" s="6">
        <f t="shared" si="8"/>
        <v>0.25409690778130489</v>
      </c>
      <c r="J274" t="str">
        <f t="shared" si="9"/>
        <v>Feb-2025</v>
      </c>
    </row>
    <row r="275" spans="1:10" x14ac:dyDescent="0.3">
      <c r="A275" s="4" t="s">
        <v>494</v>
      </c>
      <c r="B275" s="5" t="s">
        <v>73</v>
      </c>
      <c r="C275" s="4" t="s">
        <v>34</v>
      </c>
      <c r="D275" s="4" t="s">
        <v>37</v>
      </c>
      <c r="E275" s="4" t="s">
        <v>17</v>
      </c>
      <c r="F275" s="4">
        <v>429.88</v>
      </c>
      <c r="G275" s="4">
        <v>149.27000000000001</v>
      </c>
      <c r="H275" s="4">
        <v>8</v>
      </c>
      <c r="I275" s="6">
        <f t="shared" si="8"/>
        <v>0.34723643807574212</v>
      </c>
      <c r="J275" t="str">
        <f t="shared" si="9"/>
        <v>Dec-2025</v>
      </c>
    </row>
    <row r="276" spans="1:10" x14ac:dyDescent="0.3">
      <c r="A276" s="4" t="s">
        <v>495</v>
      </c>
      <c r="B276" s="5" t="s">
        <v>448</v>
      </c>
      <c r="C276" s="4" t="s">
        <v>24</v>
      </c>
      <c r="D276" s="4" t="s">
        <v>27</v>
      </c>
      <c r="E276" s="4" t="s">
        <v>12</v>
      </c>
      <c r="F276" s="4">
        <v>1474.99</v>
      </c>
      <c r="G276" s="4">
        <v>464.08</v>
      </c>
      <c r="H276" s="4">
        <v>7</v>
      </c>
      <c r="I276" s="6">
        <f t="shared" si="8"/>
        <v>0.31463264157723103</v>
      </c>
      <c r="J276" t="str">
        <f t="shared" si="9"/>
        <v>Dec-2025</v>
      </c>
    </row>
    <row r="277" spans="1:10" x14ac:dyDescent="0.3">
      <c r="A277" s="4" t="s">
        <v>496</v>
      </c>
      <c r="B277" s="5" t="s">
        <v>99</v>
      </c>
      <c r="C277" s="4" t="s">
        <v>10</v>
      </c>
      <c r="D277" s="4" t="s">
        <v>95</v>
      </c>
      <c r="E277" s="4" t="s">
        <v>17</v>
      </c>
      <c r="F277" s="4">
        <v>2766.88</v>
      </c>
      <c r="G277" s="4">
        <v>756.89</v>
      </c>
      <c r="H277" s="4">
        <v>7</v>
      </c>
      <c r="I277" s="6">
        <f t="shared" si="8"/>
        <v>0.27355360550511765</v>
      </c>
      <c r="J277" t="str">
        <f t="shared" si="9"/>
        <v>Aug-2025</v>
      </c>
    </row>
    <row r="278" spans="1:10" x14ac:dyDescent="0.3">
      <c r="A278" s="4" t="s">
        <v>497</v>
      </c>
      <c r="B278" s="5" t="s">
        <v>419</v>
      </c>
      <c r="C278" s="4" t="s">
        <v>15</v>
      </c>
      <c r="D278" s="4" t="s">
        <v>37</v>
      </c>
      <c r="E278" s="4" t="s">
        <v>17</v>
      </c>
      <c r="F278" s="4">
        <v>1377.38</v>
      </c>
      <c r="G278" s="4">
        <v>103.54</v>
      </c>
      <c r="H278" s="4">
        <v>6</v>
      </c>
      <c r="I278" s="6">
        <f t="shared" si="8"/>
        <v>7.5171702798065898E-2</v>
      </c>
      <c r="J278" t="str">
        <f t="shared" si="9"/>
        <v>Jul-2025</v>
      </c>
    </row>
    <row r="279" spans="1:10" x14ac:dyDescent="0.3">
      <c r="A279" s="4" t="s">
        <v>498</v>
      </c>
      <c r="B279" s="5" t="s">
        <v>237</v>
      </c>
      <c r="C279" s="4" t="s">
        <v>15</v>
      </c>
      <c r="D279" s="4" t="s">
        <v>40</v>
      </c>
      <c r="E279" s="4" t="s">
        <v>41</v>
      </c>
      <c r="F279" s="4">
        <v>641.16</v>
      </c>
      <c r="G279" s="4">
        <v>214.79</v>
      </c>
      <c r="H279" s="4">
        <v>3</v>
      </c>
      <c r="I279" s="6">
        <f t="shared" si="8"/>
        <v>0.33500218354232952</v>
      </c>
      <c r="J279" t="str">
        <f t="shared" si="9"/>
        <v>Sep-2025</v>
      </c>
    </row>
    <row r="280" spans="1:10" x14ac:dyDescent="0.3">
      <c r="A280" s="4" t="s">
        <v>499</v>
      </c>
      <c r="B280" s="5" t="s">
        <v>314</v>
      </c>
      <c r="C280" s="4" t="s">
        <v>15</v>
      </c>
      <c r="D280" s="4" t="s">
        <v>27</v>
      </c>
      <c r="E280" s="4" t="s">
        <v>12</v>
      </c>
      <c r="F280" s="4">
        <v>1772.45</v>
      </c>
      <c r="G280" s="4">
        <v>514.26</v>
      </c>
      <c r="H280" s="4">
        <v>5</v>
      </c>
      <c r="I280" s="6">
        <f t="shared" si="8"/>
        <v>0.29014076560692825</v>
      </c>
      <c r="J280" t="str">
        <f t="shared" si="9"/>
        <v>Oct-2025</v>
      </c>
    </row>
    <row r="281" spans="1:10" x14ac:dyDescent="0.3">
      <c r="A281" s="4" t="s">
        <v>500</v>
      </c>
      <c r="B281" s="5" t="s">
        <v>501</v>
      </c>
      <c r="C281" s="4" t="s">
        <v>15</v>
      </c>
      <c r="D281" s="4" t="s">
        <v>40</v>
      </c>
      <c r="E281" s="4" t="s">
        <v>41</v>
      </c>
      <c r="F281" s="4">
        <v>1885.62</v>
      </c>
      <c r="G281" s="4">
        <v>416.79</v>
      </c>
      <c r="H281" s="4">
        <v>10</v>
      </c>
      <c r="I281" s="6">
        <f t="shared" si="8"/>
        <v>0.22103605180259014</v>
      </c>
      <c r="J281" t="str">
        <f t="shared" si="9"/>
        <v>Aug-2025</v>
      </c>
    </row>
    <row r="282" spans="1:10" x14ac:dyDescent="0.3">
      <c r="A282" s="4" t="s">
        <v>502</v>
      </c>
      <c r="B282" s="5" t="s">
        <v>503</v>
      </c>
      <c r="C282" s="4" t="s">
        <v>34</v>
      </c>
      <c r="D282" s="4" t="s">
        <v>27</v>
      </c>
      <c r="E282" s="4" t="s">
        <v>12</v>
      </c>
      <c r="F282" s="4">
        <v>151.62</v>
      </c>
      <c r="G282" s="4">
        <v>21.58</v>
      </c>
      <c r="H282" s="4">
        <v>8</v>
      </c>
      <c r="I282" s="6">
        <f t="shared" si="8"/>
        <v>0.1423295079804775</v>
      </c>
      <c r="J282" t="str">
        <f t="shared" si="9"/>
        <v>Oct-2025</v>
      </c>
    </row>
    <row r="283" spans="1:10" x14ac:dyDescent="0.3">
      <c r="A283" s="4" t="s">
        <v>504</v>
      </c>
      <c r="B283" s="5" t="s">
        <v>505</v>
      </c>
      <c r="C283" s="4" t="s">
        <v>34</v>
      </c>
      <c r="D283" s="4" t="s">
        <v>11</v>
      </c>
      <c r="E283" s="4" t="s">
        <v>12</v>
      </c>
      <c r="F283" s="4">
        <v>993.17</v>
      </c>
      <c r="G283" s="4">
        <v>244.9</v>
      </c>
      <c r="H283" s="4">
        <v>8</v>
      </c>
      <c r="I283" s="6">
        <f t="shared" si="8"/>
        <v>0.24658416988028234</v>
      </c>
      <c r="J283" t="str">
        <f t="shared" si="9"/>
        <v>Feb-2025</v>
      </c>
    </row>
    <row r="284" spans="1:10" x14ac:dyDescent="0.3">
      <c r="A284" s="4" t="s">
        <v>506</v>
      </c>
      <c r="B284" s="5" t="s">
        <v>316</v>
      </c>
      <c r="C284" s="4" t="s">
        <v>34</v>
      </c>
      <c r="D284" s="4" t="s">
        <v>20</v>
      </c>
      <c r="E284" s="4" t="s">
        <v>12</v>
      </c>
      <c r="F284" s="4">
        <v>4946.41</v>
      </c>
      <c r="G284" s="4">
        <v>1250.83</v>
      </c>
      <c r="H284" s="4">
        <v>1</v>
      </c>
      <c r="I284" s="6">
        <f t="shared" si="8"/>
        <v>0.25287632848874231</v>
      </c>
      <c r="J284" t="str">
        <f t="shared" si="9"/>
        <v>Dec-2025</v>
      </c>
    </row>
    <row r="285" spans="1:10" x14ac:dyDescent="0.3">
      <c r="A285" s="4" t="s">
        <v>507</v>
      </c>
      <c r="B285" s="5" t="s">
        <v>299</v>
      </c>
      <c r="C285" s="4" t="s">
        <v>34</v>
      </c>
      <c r="D285" s="4" t="s">
        <v>95</v>
      </c>
      <c r="E285" s="4" t="s">
        <v>17</v>
      </c>
      <c r="F285" s="4">
        <v>2074.79</v>
      </c>
      <c r="G285" s="4">
        <v>604.63</v>
      </c>
      <c r="H285" s="4">
        <v>9</v>
      </c>
      <c r="I285" s="6">
        <f t="shared" si="8"/>
        <v>0.29141744465704961</v>
      </c>
      <c r="J285" t="str">
        <f t="shared" si="9"/>
        <v>Nov-2025</v>
      </c>
    </row>
    <row r="286" spans="1:10" x14ac:dyDescent="0.3">
      <c r="A286" s="4" t="s">
        <v>508</v>
      </c>
      <c r="B286" s="5" t="s">
        <v>375</v>
      </c>
      <c r="C286" s="4" t="s">
        <v>10</v>
      </c>
      <c r="D286" s="4" t="s">
        <v>46</v>
      </c>
      <c r="E286" s="4" t="s">
        <v>41</v>
      </c>
      <c r="F286" s="4">
        <v>349.79</v>
      </c>
      <c r="G286" s="4">
        <v>20.28</v>
      </c>
      <c r="H286" s="4">
        <v>5</v>
      </c>
      <c r="I286" s="6">
        <f t="shared" si="8"/>
        <v>5.79776437290946E-2</v>
      </c>
      <c r="J286" t="str">
        <f t="shared" si="9"/>
        <v>Sep-2025</v>
      </c>
    </row>
    <row r="287" spans="1:10" x14ac:dyDescent="0.3">
      <c r="A287" s="4" t="s">
        <v>509</v>
      </c>
      <c r="B287" s="5" t="s">
        <v>151</v>
      </c>
      <c r="C287" s="4" t="s">
        <v>24</v>
      </c>
      <c r="D287" s="4" t="s">
        <v>16</v>
      </c>
      <c r="E287" s="4" t="s">
        <v>17</v>
      </c>
      <c r="F287" s="4">
        <v>565.48</v>
      </c>
      <c r="G287" s="4">
        <v>39.14</v>
      </c>
      <c r="H287" s="4">
        <v>9</v>
      </c>
      <c r="I287" s="6">
        <f t="shared" si="8"/>
        <v>6.9215533705878185E-2</v>
      </c>
      <c r="J287" t="str">
        <f t="shared" si="9"/>
        <v>Aug-2025</v>
      </c>
    </row>
    <row r="288" spans="1:10" x14ac:dyDescent="0.3">
      <c r="A288" s="4" t="s">
        <v>510</v>
      </c>
      <c r="B288" s="5" t="s">
        <v>511</v>
      </c>
      <c r="C288" s="4" t="s">
        <v>10</v>
      </c>
      <c r="D288" s="4" t="s">
        <v>37</v>
      </c>
      <c r="E288" s="4" t="s">
        <v>17</v>
      </c>
      <c r="F288" s="4">
        <v>3632.99</v>
      </c>
      <c r="G288" s="4">
        <v>218.73</v>
      </c>
      <c r="H288" s="4">
        <v>1</v>
      </c>
      <c r="I288" s="6">
        <f t="shared" si="8"/>
        <v>6.0206606679346762E-2</v>
      </c>
      <c r="J288" t="str">
        <f t="shared" si="9"/>
        <v>Jun-2025</v>
      </c>
    </row>
    <row r="289" spans="1:10" x14ac:dyDescent="0.3">
      <c r="A289" s="4" t="s">
        <v>512</v>
      </c>
      <c r="B289" s="5" t="s">
        <v>513</v>
      </c>
      <c r="C289" s="4" t="s">
        <v>34</v>
      </c>
      <c r="D289" s="4" t="s">
        <v>16</v>
      </c>
      <c r="E289" s="4" t="s">
        <v>17</v>
      </c>
      <c r="F289" s="4">
        <v>981.65</v>
      </c>
      <c r="G289" s="4">
        <v>72.400000000000006</v>
      </c>
      <c r="H289" s="4">
        <v>5</v>
      </c>
      <c r="I289" s="6">
        <f t="shared" si="8"/>
        <v>7.3753374420618356E-2</v>
      </c>
      <c r="J289" t="str">
        <f t="shared" si="9"/>
        <v>Mar-2025</v>
      </c>
    </row>
    <row r="290" spans="1:10" x14ac:dyDescent="0.3">
      <c r="A290" s="4" t="s">
        <v>514</v>
      </c>
      <c r="B290" s="5" t="s">
        <v>515</v>
      </c>
      <c r="C290" s="4" t="s">
        <v>15</v>
      </c>
      <c r="D290" s="4" t="s">
        <v>20</v>
      </c>
      <c r="E290" s="4" t="s">
        <v>12</v>
      </c>
      <c r="F290" s="4">
        <v>1636.1</v>
      </c>
      <c r="G290" s="4">
        <v>107.28</v>
      </c>
      <c r="H290" s="4">
        <v>3</v>
      </c>
      <c r="I290" s="6">
        <f t="shared" si="8"/>
        <v>6.5570564146445826E-2</v>
      </c>
      <c r="J290" t="str">
        <f t="shared" si="9"/>
        <v>Apr-2025</v>
      </c>
    </row>
    <row r="291" spans="1:10" x14ac:dyDescent="0.3">
      <c r="A291" s="4" t="s">
        <v>516</v>
      </c>
      <c r="B291" s="5" t="s">
        <v>517</v>
      </c>
      <c r="C291" s="4" t="s">
        <v>10</v>
      </c>
      <c r="D291" s="4" t="s">
        <v>40</v>
      </c>
      <c r="E291" s="4" t="s">
        <v>41</v>
      </c>
      <c r="F291" s="4">
        <v>1272.0899999999999</v>
      </c>
      <c r="G291" s="4">
        <v>302.88</v>
      </c>
      <c r="H291" s="4">
        <v>5</v>
      </c>
      <c r="I291" s="6">
        <f t="shared" si="8"/>
        <v>0.23809636110652549</v>
      </c>
      <c r="J291" t="str">
        <f t="shared" si="9"/>
        <v>Jan-2025</v>
      </c>
    </row>
    <row r="292" spans="1:10" x14ac:dyDescent="0.3">
      <c r="A292" s="4" t="s">
        <v>518</v>
      </c>
      <c r="B292" s="5" t="s">
        <v>519</v>
      </c>
      <c r="C292" s="4" t="s">
        <v>15</v>
      </c>
      <c r="D292" s="4" t="s">
        <v>11</v>
      </c>
      <c r="E292" s="4" t="s">
        <v>12</v>
      </c>
      <c r="F292" s="4">
        <v>528.1</v>
      </c>
      <c r="G292" s="4">
        <v>151.81</v>
      </c>
      <c r="H292" s="4">
        <v>8</v>
      </c>
      <c r="I292" s="6">
        <f t="shared" si="8"/>
        <v>0.2874644953607271</v>
      </c>
      <c r="J292" t="str">
        <f t="shared" si="9"/>
        <v>May-2025</v>
      </c>
    </row>
    <row r="293" spans="1:10" x14ac:dyDescent="0.3">
      <c r="A293" s="4" t="s">
        <v>520</v>
      </c>
      <c r="B293" s="5" t="s">
        <v>521</v>
      </c>
      <c r="C293" s="4" t="s">
        <v>24</v>
      </c>
      <c r="D293" s="4" t="s">
        <v>95</v>
      </c>
      <c r="E293" s="4" t="s">
        <v>17</v>
      </c>
      <c r="F293" s="4">
        <v>3541.77</v>
      </c>
      <c r="G293" s="4">
        <v>568.67999999999995</v>
      </c>
      <c r="H293" s="4">
        <v>4</v>
      </c>
      <c r="I293" s="6">
        <f t="shared" si="8"/>
        <v>0.16056378590365833</v>
      </c>
      <c r="J293" t="str">
        <f t="shared" si="9"/>
        <v>Oct-2025</v>
      </c>
    </row>
    <row r="294" spans="1:10" x14ac:dyDescent="0.3">
      <c r="A294" s="4" t="s">
        <v>522</v>
      </c>
      <c r="B294" s="5" t="s">
        <v>469</v>
      </c>
      <c r="C294" s="4" t="s">
        <v>24</v>
      </c>
      <c r="D294" s="4" t="s">
        <v>20</v>
      </c>
      <c r="E294" s="4" t="s">
        <v>12</v>
      </c>
      <c r="F294" s="4">
        <v>2687.1</v>
      </c>
      <c r="G294" s="4">
        <v>866.27</v>
      </c>
      <c r="H294" s="4">
        <v>3</v>
      </c>
      <c r="I294" s="6">
        <f t="shared" si="8"/>
        <v>0.32238100554501137</v>
      </c>
      <c r="J294" t="str">
        <f t="shared" si="9"/>
        <v>Feb-2025</v>
      </c>
    </row>
    <row r="295" spans="1:10" x14ac:dyDescent="0.3">
      <c r="A295" s="4" t="s">
        <v>523</v>
      </c>
      <c r="B295" s="5" t="s">
        <v>501</v>
      </c>
      <c r="C295" s="4" t="s">
        <v>15</v>
      </c>
      <c r="D295" s="4" t="s">
        <v>37</v>
      </c>
      <c r="E295" s="4" t="s">
        <v>17</v>
      </c>
      <c r="F295" s="4">
        <v>1792.92</v>
      </c>
      <c r="G295" s="4">
        <v>96.61</v>
      </c>
      <c r="H295" s="4">
        <v>4</v>
      </c>
      <c r="I295" s="6">
        <f t="shared" si="8"/>
        <v>5.388416661089173E-2</v>
      </c>
      <c r="J295" t="str">
        <f t="shared" si="9"/>
        <v>Aug-2025</v>
      </c>
    </row>
    <row r="296" spans="1:10" x14ac:dyDescent="0.3">
      <c r="A296" s="4" t="s">
        <v>524</v>
      </c>
      <c r="B296" s="5" t="s">
        <v>525</v>
      </c>
      <c r="C296" s="4" t="s">
        <v>15</v>
      </c>
      <c r="D296" s="4" t="s">
        <v>16</v>
      </c>
      <c r="E296" s="4" t="s">
        <v>17</v>
      </c>
      <c r="F296" s="4">
        <v>2754.06</v>
      </c>
      <c r="G296" s="4">
        <v>441.17</v>
      </c>
      <c r="H296" s="4">
        <v>2</v>
      </c>
      <c r="I296" s="6">
        <f t="shared" si="8"/>
        <v>0.16018895739381134</v>
      </c>
      <c r="J296" t="str">
        <f t="shared" si="9"/>
        <v>Apr-2025</v>
      </c>
    </row>
    <row r="297" spans="1:10" x14ac:dyDescent="0.3">
      <c r="A297" s="4" t="s">
        <v>526</v>
      </c>
      <c r="B297" s="5" t="s">
        <v>157</v>
      </c>
      <c r="C297" s="4" t="s">
        <v>15</v>
      </c>
      <c r="D297" s="4" t="s">
        <v>27</v>
      </c>
      <c r="E297" s="4" t="s">
        <v>12</v>
      </c>
      <c r="F297" s="4">
        <v>3964.85</v>
      </c>
      <c r="G297" s="4">
        <v>898.12</v>
      </c>
      <c r="H297" s="4">
        <v>5</v>
      </c>
      <c r="I297" s="6">
        <f t="shared" si="8"/>
        <v>0.22652054932721288</v>
      </c>
      <c r="J297" t="str">
        <f t="shared" si="9"/>
        <v>Aug-2025</v>
      </c>
    </row>
    <row r="298" spans="1:10" x14ac:dyDescent="0.3">
      <c r="A298" s="4" t="s">
        <v>527</v>
      </c>
      <c r="B298" s="5" t="s">
        <v>528</v>
      </c>
      <c r="C298" s="4" t="s">
        <v>34</v>
      </c>
      <c r="D298" s="4" t="s">
        <v>20</v>
      </c>
      <c r="E298" s="4" t="s">
        <v>12</v>
      </c>
      <c r="F298" s="4">
        <v>1879.57</v>
      </c>
      <c r="G298" s="4">
        <v>298.67</v>
      </c>
      <c r="H298" s="4">
        <v>4</v>
      </c>
      <c r="I298" s="6">
        <f t="shared" si="8"/>
        <v>0.15890336619545961</v>
      </c>
      <c r="J298" t="str">
        <f t="shared" si="9"/>
        <v>Apr-2025</v>
      </c>
    </row>
    <row r="299" spans="1:10" x14ac:dyDescent="0.3">
      <c r="A299" s="4" t="s">
        <v>529</v>
      </c>
      <c r="B299" s="5" t="s">
        <v>149</v>
      </c>
      <c r="C299" s="4" t="s">
        <v>10</v>
      </c>
      <c r="D299" s="4" t="s">
        <v>37</v>
      </c>
      <c r="E299" s="4" t="s">
        <v>17</v>
      </c>
      <c r="F299" s="4">
        <v>1845.78</v>
      </c>
      <c r="G299" s="4">
        <v>285.77</v>
      </c>
      <c r="H299" s="4">
        <v>1</v>
      </c>
      <c r="I299" s="6">
        <f t="shared" si="8"/>
        <v>0.15482343507893681</v>
      </c>
      <c r="J299" t="str">
        <f t="shared" si="9"/>
        <v>Apr-2025</v>
      </c>
    </row>
    <row r="300" spans="1:10" x14ac:dyDescent="0.3">
      <c r="A300" s="4" t="s">
        <v>530</v>
      </c>
      <c r="B300" s="5" t="s">
        <v>519</v>
      </c>
      <c r="C300" s="4" t="s">
        <v>10</v>
      </c>
      <c r="D300" s="4" t="s">
        <v>37</v>
      </c>
      <c r="E300" s="4" t="s">
        <v>17</v>
      </c>
      <c r="F300" s="4">
        <v>4494.57</v>
      </c>
      <c r="G300" s="4">
        <v>1497.15</v>
      </c>
      <c r="H300" s="4">
        <v>8</v>
      </c>
      <c r="I300" s="6">
        <f t="shared" si="8"/>
        <v>0.33310194301123358</v>
      </c>
      <c r="J300" t="str">
        <f t="shared" si="9"/>
        <v>May-2025</v>
      </c>
    </row>
    <row r="301" spans="1:10" x14ac:dyDescent="0.3">
      <c r="A301" s="4" t="s">
        <v>531</v>
      </c>
      <c r="B301" s="5" t="s">
        <v>532</v>
      </c>
      <c r="C301" s="4" t="s">
        <v>34</v>
      </c>
      <c r="D301" s="4" t="s">
        <v>37</v>
      </c>
      <c r="E301" s="4" t="s">
        <v>17</v>
      </c>
      <c r="F301" s="4">
        <v>3674.19</v>
      </c>
      <c r="G301" s="4">
        <v>1166.52</v>
      </c>
      <c r="H301" s="4">
        <v>9</v>
      </c>
      <c r="I301" s="6">
        <f t="shared" si="8"/>
        <v>0.31749038563601772</v>
      </c>
      <c r="J301" t="str">
        <f t="shared" si="9"/>
        <v>Sep-2025</v>
      </c>
    </row>
    <row r="302" spans="1:10" x14ac:dyDescent="0.3">
      <c r="A302" s="4" t="s">
        <v>533</v>
      </c>
      <c r="B302" s="5" t="s">
        <v>457</v>
      </c>
      <c r="C302" s="4" t="s">
        <v>34</v>
      </c>
      <c r="D302" s="4" t="s">
        <v>20</v>
      </c>
      <c r="E302" s="4" t="s">
        <v>12</v>
      </c>
      <c r="F302" s="4">
        <v>3568.48</v>
      </c>
      <c r="G302" s="4">
        <v>775.51</v>
      </c>
      <c r="H302" s="4">
        <v>5</v>
      </c>
      <c r="I302" s="6">
        <f t="shared" si="8"/>
        <v>0.21732222122584405</v>
      </c>
      <c r="J302" t="str">
        <f t="shared" si="9"/>
        <v>Sep-2025</v>
      </c>
    </row>
    <row r="303" spans="1:10" x14ac:dyDescent="0.3">
      <c r="A303" s="4" t="s">
        <v>534</v>
      </c>
      <c r="B303" s="5" t="s">
        <v>535</v>
      </c>
      <c r="C303" s="4" t="s">
        <v>34</v>
      </c>
      <c r="D303" s="4" t="s">
        <v>95</v>
      </c>
      <c r="E303" s="4" t="s">
        <v>17</v>
      </c>
      <c r="F303" s="4">
        <v>1905.35</v>
      </c>
      <c r="G303" s="4">
        <v>550.85</v>
      </c>
      <c r="H303" s="4">
        <v>4</v>
      </c>
      <c r="I303" s="6">
        <f t="shared" si="8"/>
        <v>0.28910698821738789</v>
      </c>
      <c r="J303" t="str">
        <f t="shared" si="9"/>
        <v>Dec-2025</v>
      </c>
    </row>
    <row r="304" spans="1:10" x14ac:dyDescent="0.3">
      <c r="A304" s="4" t="s">
        <v>536</v>
      </c>
      <c r="B304" s="5" t="s">
        <v>434</v>
      </c>
      <c r="C304" s="4" t="s">
        <v>15</v>
      </c>
      <c r="D304" s="4" t="s">
        <v>40</v>
      </c>
      <c r="E304" s="4" t="s">
        <v>41</v>
      </c>
      <c r="F304" s="4">
        <v>403.34</v>
      </c>
      <c r="G304" s="4">
        <v>37.75</v>
      </c>
      <c r="H304" s="4">
        <v>3</v>
      </c>
      <c r="I304" s="6">
        <f t="shared" si="8"/>
        <v>9.3593494322407905E-2</v>
      </c>
      <c r="J304" t="str">
        <f t="shared" si="9"/>
        <v>Oct-2025</v>
      </c>
    </row>
    <row r="305" spans="1:10" x14ac:dyDescent="0.3">
      <c r="A305" s="4" t="s">
        <v>537</v>
      </c>
      <c r="B305" s="5" t="s">
        <v>182</v>
      </c>
      <c r="C305" s="4" t="s">
        <v>10</v>
      </c>
      <c r="D305" s="4" t="s">
        <v>20</v>
      </c>
      <c r="E305" s="4" t="s">
        <v>12</v>
      </c>
      <c r="F305" s="4">
        <v>270.63</v>
      </c>
      <c r="G305" s="4">
        <v>31.63</v>
      </c>
      <c r="H305" s="4">
        <v>9</v>
      </c>
      <c r="I305" s="6">
        <f t="shared" si="8"/>
        <v>0.11687543879096922</v>
      </c>
      <c r="J305" t="str">
        <f t="shared" si="9"/>
        <v>Jul-2025</v>
      </c>
    </row>
    <row r="306" spans="1:10" x14ac:dyDescent="0.3">
      <c r="A306" s="4" t="s">
        <v>538</v>
      </c>
      <c r="B306" s="5" t="s">
        <v>231</v>
      </c>
      <c r="C306" s="4" t="s">
        <v>10</v>
      </c>
      <c r="D306" s="4" t="s">
        <v>16</v>
      </c>
      <c r="E306" s="4" t="s">
        <v>17</v>
      </c>
      <c r="F306" s="4">
        <v>498.46</v>
      </c>
      <c r="G306" s="4">
        <v>36.76</v>
      </c>
      <c r="H306" s="4">
        <v>9</v>
      </c>
      <c r="I306" s="6">
        <f t="shared" si="8"/>
        <v>7.3747141194880225E-2</v>
      </c>
      <c r="J306" t="str">
        <f t="shared" si="9"/>
        <v>Apr-2025</v>
      </c>
    </row>
    <row r="307" spans="1:10" x14ac:dyDescent="0.3">
      <c r="A307" s="4" t="s">
        <v>539</v>
      </c>
      <c r="B307" s="5" t="s">
        <v>540</v>
      </c>
      <c r="C307" s="4" t="s">
        <v>15</v>
      </c>
      <c r="D307" s="4" t="s">
        <v>40</v>
      </c>
      <c r="E307" s="4" t="s">
        <v>41</v>
      </c>
      <c r="F307" s="4">
        <v>4524.46</v>
      </c>
      <c r="G307" s="4">
        <v>945.4</v>
      </c>
      <c r="H307" s="4">
        <v>9</v>
      </c>
      <c r="I307" s="6">
        <f t="shared" si="8"/>
        <v>0.20895311263664612</v>
      </c>
      <c r="J307" t="str">
        <f t="shared" si="9"/>
        <v>Feb-2025</v>
      </c>
    </row>
    <row r="308" spans="1:10" x14ac:dyDescent="0.3">
      <c r="A308" s="4" t="s">
        <v>541</v>
      </c>
      <c r="B308" s="5" t="s">
        <v>542</v>
      </c>
      <c r="C308" s="4" t="s">
        <v>10</v>
      </c>
      <c r="D308" s="4" t="s">
        <v>11</v>
      </c>
      <c r="E308" s="4" t="s">
        <v>12</v>
      </c>
      <c r="F308" s="4">
        <v>723.28</v>
      </c>
      <c r="G308" s="4">
        <v>216.59</v>
      </c>
      <c r="H308" s="4">
        <v>9</v>
      </c>
      <c r="I308" s="6">
        <f t="shared" si="8"/>
        <v>0.29945525937396306</v>
      </c>
      <c r="J308" t="str">
        <f t="shared" si="9"/>
        <v>Aug-2025</v>
      </c>
    </row>
    <row r="309" spans="1:10" x14ac:dyDescent="0.3">
      <c r="A309" s="4" t="s">
        <v>543</v>
      </c>
      <c r="B309" s="5" t="s">
        <v>304</v>
      </c>
      <c r="C309" s="4" t="s">
        <v>15</v>
      </c>
      <c r="D309" s="4" t="s">
        <v>46</v>
      </c>
      <c r="E309" s="4" t="s">
        <v>41</v>
      </c>
      <c r="F309" s="4">
        <v>2612.59</v>
      </c>
      <c r="G309" s="4">
        <v>458.67</v>
      </c>
      <c r="H309" s="4">
        <v>8</v>
      </c>
      <c r="I309" s="6">
        <f t="shared" si="8"/>
        <v>0.17556141606604939</v>
      </c>
      <c r="J309" t="str">
        <f t="shared" si="9"/>
        <v>Jul-2025</v>
      </c>
    </row>
    <row r="310" spans="1:10" x14ac:dyDescent="0.3">
      <c r="A310" s="4" t="s">
        <v>544</v>
      </c>
      <c r="B310" s="5" t="s">
        <v>427</v>
      </c>
      <c r="C310" s="4" t="s">
        <v>15</v>
      </c>
      <c r="D310" s="4" t="s">
        <v>20</v>
      </c>
      <c r="E310" s="4" t="s">
        <v>12</v>
      </c>
      <c r="F310" s="4">
        <v>4215.13</v>
      </c>
      <c r="G310" s="4">
        <v>254.63</v>
      </c>
      <c r="H310" s="4">
        <v>7</v>
      </c>
      <c r="I310" s="6">
        <f t="shared" si="8"/>
        <v>6.0408575773463688E-2</v>
      </c>
      <c r="J310" t="str">
        <f t="shared" si="9"/>
        <v>Jul-2025</v>
      </c>
    </row>
    <row r="311" spans="1:10" x14ac:dyDescent="0.3">
      <c r="A311" s="4" t="s">
        <v>545</v>
      </c>
      <c r="B311" s="5" t="s">
        <v>546</v>
      </c>
      <c r="C311" s="4" t="s">
        <v>10</v>
      </c>
      <c r="D311" s="4" t="s">
        <v>40</v>
      </c>
      <c r="E311" s="4" t="s">
        <v>41</v>
      </c>
      <c r="F311" s="4">
        <v>4580.26</v>
      </c>
      <c r="G311" s="4">
        <v>1268.57</v>
      </c>
      <c r="H311" s="4">
        <v>10</v>
      </c>
      <c r="I311" s="6">
        <f t="shared" si="8"/>
        <v>0.27696462646225323</v>
      </c>
      <c r="J311" t="str">
        <f t="shared" si="9"/>
        <v>Nov-2025</v>
      </c>
    </row>
    <row r="312" spans="1:10" x14ac:dyDescent="0.3">
      <c r="A312" s="4" t="s">
        <v>547</v>
      </c>
      <c r="B312" s="5" t="s">
        <v>548</v>
      </c>
      <c r="C312" s="4" t="s">
        <v>34</v>
      </c>
      <c r="D312" s="4" t="s">
        <v>11</v>
      </c>
      <c r="E312" s="4" t="s">
        <v>12</v>
      </c>
      <c r="F312" s="4">
        <v>4861.67</v>
      </c>
      <c r="G312" s="4">
        <v>1277.48</v>
      </c>
      <c r="H312" s="4">
        <v>3</v>
      </c>
      <c r="I312" s="6">
        <f t="shared" si="8"/>
        <v>0.26276567516923199</v>
      </c>
      <c r="J312" t="str">
        <f t="shared" si="9"/>
        <v>Oct-2025</v>
      </c>
    </row>
    <row r="313" spans="1:10" x14ac:dyDescent="0.3">
      <c r="A313" s="4" t="s">
        <v>549</v>
      </c>
      <c r="B313" s="5" t="s">
        <v>107</v>
      </c>
      <c r="C313" s="4" t="s">
        <v>24</v>
      </c>
      <c r="D313" s="4" t="s">
        <v>46</v>
      </c>
      <c r="E313" s="4" t="s">
        <v>41</v>
      </c>
      <c r="F313" s="4">
        <v>278.87</v>
      </c>
      <c r="G313" s="4">
        <v>64.88</v>
      </c>
      <c r="H313" s="4">
        <v>3</v>
      </c>
      <c r="I313" s="6">
        <f t="shared" si="8"/>
        <v>0.23265320758776489</v>
      </c>
      <c r="J313" t="str">
        <f t="shared" si="9"/>
        <v>Jun-2025</v>
      </c>
    </row>
    <row r="314" spans="1:10" x14ac:dyDescent="0.3">
      <c r="A314" s="4" t="s">
        <v>550</v>
      </c>
      <c r="B314" s="5" t="s">
        <v>551</v>
      </c>
      <c r="C314" s="4" t="s">
        <v>24</v>
      </c>
      <c r="D314" s="4" t="s">
        <v>46</v>
      </c>
      <c r="E314" s="4" t="s">
        <v>41</v>
      </c>
      <c r="F314" s="4">
        <v>4781.08</v>
      </c>
      <c r="G314" s="4">
        <v>936.22</v>
      </c>
      <c r="H314" s="4">
        <v>10</v>
      </c>
      <c r="I314" s="6">
        <f t="shared" si="8"/>
        <v>0.19581768136069674</v>
      </c>
      <c r="J314" t="str">
        <f t="shared" si="9"/>
        <v>Jul-2025</v>
      </c>
    </row>
    <row r="315" spans="1:10" x14ac:dyDescent="0.3">
      <c r="A315" s="4" t="s">
        <v>552</v>
      </c>
      <c r="B315" s="5" t="s">
        <v>553</v>
      </c>
      <c r="C315" s="4" t="s">
        <v>24</v>
      </c>
      <c r="D315" s="4" t="s">
        <v>37</v>
      </c>
      <c r="E315" s="4" t="s">
        <v>17</v>
      </c>
      <c r="F315" s="4">
        <v>4579.8999999999996</v>
      </c>
      <c r="G315" s="4">
        <v>470.34</v>
      </c>
      <c r="H315" s="4">
        <v>10</v>
      </c>
      <c r="I315" s="6">
        <f t="shared" si="8"/>
        <v>0.10269656542719274</v>
      </c>
      <c r="J315" t="str">
        <f t="shared" si="9"/>
        <v>Jul-2025</v>
      </c>
    </row>
    <row r="316" spans="1:10" x14ac:dyDescent="0.3">
      <c r="A316" s="4" t="s">
        <v>554</v>
      </c>
      <c r="B316" s="5" t="s">
        <v>260</v>
      </c>
      <c r="C316" s="4" t="s">
        <v>24</v>
      </c>
      <c r="D316" s="4" t="s">
        <v>16</v>
      </c>
      <c r="E316" s="4" t="s">
        <v>17</v>
      </c>
      <c r="F316" s="4">
        <v>999.46</v>
      </c>
      <c r="G316" s="4">
        <v>343.09</v>
      </c>
      <c r="H316" s="4">
        <v>9</v>
      </c>
      <c r="I316" s="6">
        <f t="shared" si="8"/>
        <v>0.34327536869909747</v>
      </c>
      <c r="J316" t="str">
        <f t="shared" si="9"/>
        <v>Oct-2025</v>
      </c>
    </row>
    <row r="317" spans="1:10" x14ac:dyDescent="0.3">
      <c r="A317" s="4" t="s">
        <v>555</v>
      </c>
      <c r="B317" s="5" t="s">
        <v>92</v>
      </c>
      <c r="C317" s="4" t="s">
        <v>24</v>
      </c>
      <c r="D317" s="4" t="s">
        <v>40</v>
      </c>
      <c r="E317" s="4" t="s">
        <v>41</v>
      </c>
      <c r="F317" s="4">
        <v>4348.74</v>
      </c>
      <c r="G317" s="4">
        <v>718.69</v>
      </c>
      <c r="H317" s="4">
        <v>1</v>
      </c>
      <c r="I317" s="6">
        <f t="shared" si="8"/>
        <v>0.16526396151528952</v>
      </c>
      <c r="J317" t="str">
        <f t="shared" si="9"/>
        <v>Sep-2025</v>
      </c>
    </row>
    <row r="318" spans="1:10" x14ac:dyDescent="0.3">
      <c r="A318" s="4" t="s">
        <v>556</v>
      </c>
      <c r="B318" s="5" t="s">
        <v>101</v>
      </c>
      <c r="C318" s="4" t="s">
        <v>15</v>
      </c>
      <c r="D318" s="4" t="s">
        <v>20</v>
      </c>
      <c r="E318" s="4" t="s">
        <v>12</v>
      </c>
      <c r="F318" s="4">
        <v>1170.49</v>
      </c>
      <c r="G318" s="4">
        <v>365.61</v>
      </c>
      <c r="H318" s="4">
        <v>5</v>
      </c>
      <c r="I318" s="6">
        <f t="shared" si="8"/>
        <v>0.31235636357422958</v>
      </c>
      <c r="J318" t="str">
        <f t="shared" si="9"/>
        <v>Mar-2025</v>
      </c>
    </row>
    <row r="319" spans="1:10" x14ac:dyDescent="0.3">
      <c r="A319" s="4" t="s">
        <v>557</v>
      </c>
      <c r="B319" s="5" t="s">
        <v>107</v>
      </c>
      <c r="C319" s="4" t="s">
        <v>24</v>
      </c>
      <c r="D319" s="4" t="s">
        <v>46</v>
      </c>
      <c r="E319" s="4" t="s">
        <v>41</v>
      </c>
      <c r="F319" s="4">
        <v>3145.73</v>
      </c>
      <c r="G319" s="4">
        <v>1040.5899999999999</v>
      </c>
      <c r="H319" s="4">
        <v>8</v>
      </c>
      <c r="I319" s="6">
        <f t="shared" si="8"/>
        <v>0.33079444198961766</v>
      </c>
      <c r="J319" t="str">
        <f t="shared" si="9"/>
        <v>Jun-2025</v>
      </c>
    </row>
    <row r="320" spans="1:10" x14ac:dyDescent="0.3">
      <c r="A320" s="4" t="s">
        <v>558</v>
      </c>
      <c r="B320" s="5" t="s">
        <v>559</v>
      </c>
      <c r="C320" s="4" t="s">
        <v>15</v>
      </c>
      <c r="D320" s="4" t="s">
        <v>46</v>
      </c>
      <c r="E320" s="4" t="s">
        <v>41</v>
      </c>
      <c r="F320" s="4">
        <v>2753.45</v>
      </c>
      <c r="G320" s="4">
        <v>283.25</v>
      </c>
      <c r="H320" s="4">
        <v>2</v>
      </c>
      <c r="I320" s="6">
        <f t="shared" si="8"/>
        <v>0.10287094372514483</v>
      </c>
      <c r="J320" t="str">
        <f t="shared" si="9"/>
        <v>Oct-2025</v>
      </c>
    </row>
    <row r="321" spans="1:10" x14ac:dyDescent="0.3">
      <c r="A321" s="4" t="s">
        <v>560</v>
      </c>
      <c r="B321" s="5" t="s">
        <v>561</v>
      </c>
      <c r="C321" s="4" t="s">
        <v>15</v>
      </c>
      <c r="D321" s="4" t="s">
        <v>27</v>
      </c>
      <c r="E321" s="4" t="s">
        <v>12</v>
      </c>
      <c r="F321" s="4">
        <v>2515.34</v>
      </c>
      <c r="G321" s="4">
        <v>453.6</v>
      </c>
      <c r="H321" s="4">
        <v>10</v>
      </c>
      <c r="I321" s="6">
        <f t="shared" si="8"/>
        <v>0.18033347380473416</v>
      </c>
      <c r="J321" t="str">
        <f t="shared" si="9"/>
        <v>May-2025</v>
      </c>
    </row>
    <row r="322" spans="1:10" x14ac:dyDescent="0.3">
      <c r="A322" s="4" t="s">
        <v>562</v>
      </c>
      <c r="B322" s="5" t="s">
        <v>563</v>
      </c>
      <c r="C322" s="4" t="s">
        <v>24</v>
      </c>
      <c r="D322" s="4" t="s">
        <v>11</v>
      </c>
      <c r="E322" s="4" t="s">
        <v>12</v>
      </c>
      <c r="F322" s="4">
        <v>2244.0500000000002</v>
      </c>
      <c r="G322" s="4">
        <v>536.45000000000005</v>
      </c>
      <c r="H322" s="4">
        <v>8</v>
      </c>
      <c r="I322" s="6">
        <f t="shared" si="8"/>
        <v>0.23905438827120609</v>
      </c>
      <c r="J322" t="str">
        <f t="shared" si="9"/>
        <v>Jan-2025</v>
      </c>
    </row>
    <row r="323" spans="1:10" x14ac:dyDescent="0.3">
      <c r="A323" s="4" t="s">
        <v>564</v>
      </c>
      <c r="B323" s="5" t="s">
        <v>565</v>
      </c>
      <c r="C323" s="4" t="s">
        <v>24</v>
      </c>
      <c r="D323" s="4" t="s">
        <v>95</v>
      </c>
      <c r="E323" s="4" t="s">
        <v>17</v>
      </c>
      <c r="F323" s="4">
        <v>1065.56</v>
      </c>
      <c r="G323" s="4">
        <v>229.42</v>
      </c>
      <c r="H323" s="4">
        <v>8</v>
      </c>
      <c r="I323" s="6">
        <f t="shared" ref="I323:I386" si="10">G323/F323</f>
        <v>0.21530462855212282</v>
      </c>
      <c r="J323" t="str">
        <f t="shared" ref="J323:J386" si="11">TEXT(B323,"mmm-yyyy")</f>
        <v>Oct-2025</v>
      </c>
    </row>
    <row r="324" spans="1:10" x14ac:dyDescent="0.3">
      <c r="A324" s="4" t="s">
        <v>566</v>
      </c>
      <c r="B324" s="5" t="s">
        <v>149</v>
      </c>
      <c r="C324" s="4" t="s">
        <v>15</v>
      </c>
      <c r="D324" s="4" t="s">
        <v>40</v>
      </c>
      <c r="E324" s="4" t="s">
        <v>41</v>
      </c>
      <c r="F324" s="4">
        <v>3654.67</v>
      </c>
      <c r="G324" s="4">
        <v>760.56</v>
      </c>
      <c r="H324" s="4">
        <v>9</v>
      </c>
      <c r="I324" s="6">
        <f t="shared" si="10"/>
        <v>0.20810634065455977</v>
      </c>
      <c r="J324" t="str">
        <f t="shared" si="11"/>
        <v>Apr-2025</v>
      </c>
    </row>
    <row r="325" spans="1:10" x14ac:dyDescent="0.3">
      <c r="A325" s="4" t="s">
        <v>567</v>
      </c>
      <c r="B325" s="5" t="s">
        <v>568</v>
      </c>
      <c r="C325" s="4" t="s">
        <v>34</v>
      </c>
      <c r="D325" s="4" t="s">
        <v>40</v>
      </c>
      <c r="E325" s="4" t="s">
        <v>41</v>
      </c>
      <c r="F325" s="4">
        <v>4030.61</v>
      </c>
      <c r="G325" s="4">
        <v>594.78</v>
      </c>
      <c r="H325" s="4">
        <v>5</v>
      </c>
      <c r="I325" s="6">
        <f t="shared" si="10"/>
        <v>0.14756575307459663</v>
      </c>
      <c r="J325" t="str">
        <f t="shared" si="11"/>
        <v>Jul-2025</v>
      </c>
    </row>
    <row r="326" spans="1:10" x14ac:dyDescent="0.3">
      <c r="A326" s="4" t="s">
        <v>569</v>
      </c>
      <c r="B326" s="5" t="s">
        <v>60</v>
      </c>
      <c r="C326" s="4" t="s">
        <v>34</v>
      </c>
      <c r="D326" s="4" t="s">
        <v>27</v>
      </c>
      <c r="E326" s="4" t="s">
        <v>12</v>
      </c>
      <c r="F326" s="4">
        <v>1582.09</v>
      </c>
      <c r="G326" s="4">
        <v>116.49</v>
      </c>
      <c r="H326" s="4">
        <v>7</v>
      </c>
      <c r="I326" s="6">
        <f t="shared" si="10"/>
        <v>7.3630450859306362E-2</v>
      </c>
      <c r="J326" t="str">
        <f t="shared" si="11"/>
        <v>Nov-2025</v>
      </c>
    </row>
    <row r="327" spans="1:10" x14ac:dyDescent="0.3">
      <c r="A327" s="4" t="s">
        <v>570</v>
      </c>
      <c r="B327" s="5" t="s">
        <v>571</v>
      </c>
      <c r="C327" s="4" t="s">
        <v>15</v>
      </c>
      <c r="D327" s="4" t="s">
        <v>95</v>
      </c>
      <c r="E327" s="4" t="s">
        <v>17</v>
      </c>
      <c r="F327" s="4">
        <v>391.15</v>
      </c>
      <c r="G327" s="4">
        <v>46.13</v>
      </c>
      <c r="H327" s="4">
        <v>9</v>
      </c>
      <c r="I327" s="6">
        <f t="shared" si="10"/>
        <v>0.11793429630576506</v>
      </c>
      <c r="J327" t="str">
        <f t="shared" si="11"/>
        <v>Feb-2025</v>
      </c>
    </row>
    <row r="328" spans="1:10" x14ac:dyDescent="0.3">
      <c r="A328" s="4" t="s">
        <v>572</v>
      </c>
      <c r="B328" s="5" t="s">
        <v>489</v>
      </c>
      <c r="C328" s="4" t="s">
        <v>15</v>
      </c>
      <c r="D328" s="4" t="s">
        <v>27</v>
      </c>
      <c r="E328" s="4" t="s">
        <v>12</v>
      </c>
      <c r="F328" s="4">
        <v>2489.8000000000002</v>
      </c>
      <c r="G328" s="4">
        <v>373.74</v>
      </c>
      <c r="H328" s="4">
        <v>7</v>
      </c>
      <c r="I328" s="6">
        <f t="shared" si="10"/>
        <v>0.15010844244517632</v>
      </c>
      <c r="J328" t="str">
        <f t="shared" si="11"/>
        <v>Mar-2025</v>
      </c>
    </row>
    <row r="329" spans="1:10" x14ac:dyDescent="0.3">
      <c r="A329" s="4" t="s">
        <v>573</v>
      </c>
      <c r="B329" s="5" t="s">
        <v>513</v>
      </c>
      <c r="C329" s="4" t="s">
        <v>24</v>
      </c>
      <c r="D329" s="4" t="s">
        <v>40</v>
      </c>
      <c r="E329" s="4" t="s">
        <v>41</v>
      </c>
      <c r="F329" s="4">
        <v>3793.47</v>
      </c>
      <c r="G329" s="4">
        <v>875.95</v>
      </c>
      <c r="H329" s="4">
        <v>2</v>
      </c>
      <c r="I329" s="6">
        <f t="shared" si="10"/>
        <v>0.23090995842856279</v>
      </c>
      <c r="J329" t="str">
        <f t="shared" si="11"/>
        <v>Mar-2025</v>
      </c>
    </row>
    <row r="330" spans="1:10" x14ac:dyDescent="0.3">
      <c r="A330" s="4" t="s">
        <v>574</v>
      </c>
      <c r="B330" s="5" t="s">
        <v>575</v>
      </c>
      <c r="C330" s="4" t="s">
        <v>10</v>
      </c>
      <c r="D330" s="4" t="s">
        <v>16</v>
      </c>
      <c r="E330" s="4" t="s">
        <v>17</v>
      </c>
      <c r="F330" s="4">
        <v>3184.86</v>
      </c>
      <c r="G330" s="4">
        <v>375.03</v>
      </c>
      <c r="H330" s="4">
        <v>8</v>
      </c>
      <c r="I330" s="6">
        <f t="shared" si="10"/>
        <v>0.11775399860590417</v>
      </c>
      <c r="J330" t="str">
        <f t="shared" si="11"/>
        <v>Dec-2025</v>
      </c>
    </row>
    <row r="331" spans="1:10" x14ac:dyDescent="0.3">
      <c r="A331" s="4" t="s">
        <v>576</v>
      </c>
      <c r="B331" s="5" t="s">
        <v>369</v>
      </c>
      <c r="C331" s="4" t="s">
        <v>34</v>
      </c>
      <c r="D331" s="4" t="s">
        <v>95</v>
      </c>
      <c r="E331" s="4" t="s">
        <v>17</v>
      </c>
      <c r="F331" s="4">
        <v>4565.88</v>
      </c>
      <c r="G331" s="4">
        <v>554.79999999999995</v>
      </c>
      <c r="H331" s="4">
        <v>3</v>
      </c>
      <c r="I331" s="6">
        <f t="shared" si="10"/>
        <v>0.12150998274155254</v>
      </c>
      <c r="J331" t="str">
        <f t="shared" si="11"/>
        <v>Oct-2025</v>
      </c>
    </row>
    <row r="332" spans="1:10" x14ac:dyDescent="0.3">
      <c r="A332" s="4" t="s">
        <v>577</v>
      </c>
      <c r="B332" s="5" t="s">
        <v>31</v>
      </c>
      <c r="C332" s="4" t="s">
        <v>34</v>
      </c>
      <c r="D332" s="4" t="s">
        <v>11</v>
      </c>
      <c r="E332" s="4" t="s">
        <v>12</v>
      </c>
      <c r="F332" s="4">
        <v>4833.6099999999997</v>
      </c>
      <c r="G332" s="4">
        <v>271.83</v>
      </c>
      <c r="H332" s="4">
        <v>2</v>
      </c>
      <c r="I332" s="6">
        <f t="shared" si="10"/>
        <v>5.6237470544789503E-2</v>
      </c>
      <c r="J332" t="str">
        <f t="shared" si="11"/>
        <v>Nov-2025</v>
      </c>
    </row>
    <row r="333" spans="1:10" x14ac:dyDescent="0.3">
      <c r="A333" s="4" t="s">
        <v>578</v>
      </c>
      <c r="B333" s="5" t="s">
        <v>579</v>
      </c>
      <c r="C333" s="4" t="s">
        <v>34</v>
      </c>
      <c r="D333" s="4" t="s">
        <v>37</v>
      </c>
      <c r="E333" s="4" t="s">
        <v>17</v>
      </c>
      <c r="F333" s="4">
        <v>4243.47</v>
      </c>
      <c r="G333" s="4">
        <v>1204.3499999999999</v>
      </c>
      <c r="H333" s="4">
        <v>1</v>
      </c>
      <c r="I333" s="6">
        <f t="shared" si="10"/>
        <v>0.2838125402088385</v>
      </c>
      <c r="J333" t="str">
        <f t="shared" si="11"/>
        <v>Feb-2025</v>
      </c>
    </row>
    <row r="334" spans="1:10" x14ac:dyDescent="0.3">
      <c r="A334" s="4" t="s">
        <v>580</v>
      </c>
      <c r="B334" s="5" t="s">
        <v>575</v>
      </c>
      <c r="C334" s="4" t="s">
        <v>34</v>
      </c>
      <c r="D334" s="4" t="s">
        <v>20</v>
      </c>
      <c r="E334" s="4" t="s">
        <v>12</v>
      </c>
      <c r="F334" s="4">
        <v>3230.99</v>
      </c>
      <c r="G334" s="4">
        <v>498.95</v>
      </c>
      <c r="H334" s="4">
        <v>4</v>
      </c>
      <c r="I334" s="6">
        <f t="shared" si="10"/>
        <v>0.15442635229449797</v>
      </c>
      <c r="J334" t="str">
        <f t="shared" si="11"/>
        <v>Dec-2025</v>
      </c>
    </row>
    <row r="335" spans="1:10" x14ac:dyDescent="0.3">
      <c r="A335" s="4" t="s">
        <v>581</v>
      </c>
      <c r="B335" s="5" t="s">
        <v>175</v>
      </c>
      <c r="C335" s="4" t="s">
        <v>15</v>
      </c>
      <c r="D335" s="4" t="s">
        <v>37</v>
      </c>
      <c r="E335" s="4" t="s">
        <v>17</v>
      </c>
      <c r="F335" s="4">
        <v>3713.62</v>
      </c>
      <c r="G335" s="4">
        <v>880.34</v>
      </c>
      <c r="H335" s="4">
        <v>8</v>
      </c>
      <c r="I335" s="6">
        <f t="shared" si="10"/>
        <v>0.23705710331159355</v>
      </c>
      <c r="J335" t="str">
        <f t="shared" si="11"/>
        <v>May-2025</v>
      </c>
    </row>
    <row r="336" spans="1:10" x14ac:dyDescent="0.3">
      <c r="A336" s="4" t="s">
        <v>582</v>
      </c>
      <c r="B336" s="5" t="s">
        <v>295</v>
      </c>
      <c r="C336" s="4" t="s">
        <v>15</v>
      </c>
      <c r="D336" s="4" t="s">
        <v>40</v>
      </c>
      <c r="E336" s="4" t="s">
        <v>41</v>
      </c>
      <c r="F336" s="4">
        <v>4545.2</v>
      </c>
      <c r="G336" s="4">
        <v>1572.67</v>
      </c>
      <c r="H336" s="4">
        <v>3</v>
      </c>
      <c r="I336" s="6">
        <f t="shared" si="10"/>
        <v>0.3460067763794773</v>
      </c>
      <c r="J336" t="str">
        <f t="shared" si="11"/>
        <v>Nov-2025</v>
      </c>
    </row>
    <row r="337" spans="1:10" x14ac:dyDescent="0.3">
      <c r="A337" s="4" t="s">
        <v>583</v>
      </c>
      <c r="B337" s="5" t="s">
        <v>19</v>
      </c>
      <c r="C337" s="4" t="s">
        <v>10</v>
      </c>
      <c r="D337" s="4" t="s">
        <v>37</v>
      </c>
      <c r="E337" s="4" t="s">
        <v>17</v>
      </c>
      <c r="F337" s="4">
        <v>2422.39</v>
      </c>
      <c r="G337" s="4">
        <v>300.92</v>
      </c>
      <c r="H337" s="4">
        <v>3</v>
      </c>
      <c r="I337" s="6">
        <f t="shared" si="10"/>
        <v>0.12422442298721512</v>
      </c>
      <c r="J337" t="str">
        <f t="shared" si="11"/>
        <v>May-2025</v>
      </c>
    </row>
    <row r="338" spans="1:10" x14ac:dyDescent="0.3">
      <c r="A338" s="4" t="s">
        <v>584</v>
      </c>
      <c r="B338" s="5" t="s">
        <v>491</v>
      </c>
      <c r="C338" s="4" t="s">
        <v>10</v>
      </c>
      <c r="D338" s="4" t="s">
        <v>37</v>
      </c>
      <c r="E338" s="4" t="s">
        <v>17</v>
      </c>
      <c r="F338" s="4">
        <v>4156.3</v>
      </c>
      <c r="G338" s="4">
        <v>804.32</v>
      </c>
      <c r="H338" s="4">
        <v>10</v>
      </c>
      <c r="I338" s="6">
        <f t="shared" si="10"/>
        <v>0.19351827346437939</v>
      </c>
      <c r="J338" t="str">
        <f t="shared" si="11"/>
        <v>Oct-2025</v>
      </c>
    </row>
    <row r="339" spans="1:10" x14ac:dyDescent="0.3">
      <c r="A339" s="4" t="s">
        <v>585</v>
      </c>
      <c r="B339" s="5" t="s">
        <v>387</v>
      </c>
      <c r="C339" s="4" t="s">
        <v>10</v>
      </c>
      <c r="D339" s="4" t="s">
        <v>20</v>
      </c>
      <c r="E339" s="4" t="s">
        <v>12</v>
      </c>
      <c r="F339" s="4">
        <v>3697.74</v>
      </c>
      <c r="G339" s="4">
        <v>878.7</v>
      </c>
      <c r="H339" s="4">
        <v>9</v>
      </c>
      <c r="I339" s="6">
        <f t="shared" si="10"/>
        <v>0.23763163445780397</v>
      </c>
      <c r="J339" t="str">
        <f t="shared" si="11"/>
        <v>Jun-2025</v>
      </c>
    </row>
    <row r="340" spans="1:10" x14ac:dyDescent="0.3">
      <c r="A340" s="4" t="s">
        <v>586</v>
      </c>
      <c r="B340" s="5" t="s">
        <v>513</v>
      </c>
      <c r="C340" s="4" t="s">
        <v>10</v>
      </c>
      <c r="D340" s="4" t="s">
        <v>95</v>
      </c>
      <c r="E340" s="4" t="s">
        <v>17</v>
      </c>
      <c r="F340" s="4">
        <v>4575.1099999999997</v>
      </c>
      <c r="G340" s="4">
        <v>493.08</v>
      </c>
      <c r="H340" s="4">
        <v>8</v>
      </c>
      <c r="I340" s="6">
        <f t="shared" si="10"/>
        <v>0.107774457881887</v>
      </c>
      <c r="J340" t="str">
        <f t="shared" si="11"/>
        <v>Mar-2025</v>
      </c>
    </row>
    <row r="341" spans="1:10" x14ac:dyDescent="0.3">
      <c r="A341" s="4" t="s">
        <v>587</v>
      </c>
      <c r="B341" s="5" t="s">
        <v>588</v>
      </c>
      <c r="C341" s="4" t="s">
        <v>10</v>
      </c>
      <c r="D341" s="4" t="s">
        <v>37</v>
      </c>
      <c r="E341" s="4" t="s">
        <v>17</v>
      </c>
      <c r="F341" s="4">
        <v>2835.09</v>
      </c>
      <c r="G341" s="4">
        <v>985.07</v>
      </c>
      <c r="H341" s="4">
        <v>1</v>
      </c>
      <c r="I341" s="6">
        <f t="shared" si="10"/>
        <v>0.34745634177398249</v>
      </c>
      <c r="J341" t="str">
        <f t="shared" si="11"/>
        <v>Jun-2025</v>
      </c>
    </row>
    <row r="342" spans="1:10" x14ac:dyDescent="0.3">
      <c r="A342" s="4" t="s">
        <v>589</v>
      </c>
      <c r="B342" s="5" t="s">
        <v>469</v>
      </c>
      <c r="C342" s="4" t="s">
        <v>10</v>
      </c>
      <c r="D342" s="4" t="s">
        <v>95</v>
      </c>
      <c r="E342" s="4" t="s">
        <v>17</v>
      </c>
      <c r="F342" s="4">
        <v>1530.07</v>
      </c>
      <c r="G342" s="4">
        <v>397.91</v>
      </c>
      <c r="H342" s="4">
        <v>7</v>
      </c>
      <c r="I342" s="6">
        <f t="shared" si="10"/>
        <v>0.2600599972550276</v>
      </c>
      <c r="J342" t="str">
        <f t="shared" si="11"/>
        <v>Feb-2025</v>
      </c>
    </row>
    <row r="343" spans="1:10" x14ac:dyDescent="0.3">
      <c r="A343" s="4" t="s">
        <v>590</v>
      </c>
      <c r="B343" s="5" t="s">
        <v>90</v>
      </c>
      <c r="C343" s="4" t="s">
        <v>10</v>
      </c>
      <c r="D343" s="4" t="s">
        <v>20</v>
      </c>
      <c r="E343" s="4" t="s">
        <v>12</v>
      </c>
      <c r="F343" s="4">
        <v>4923.3900000000003</v>
      </c>
      <c r="G343" s="4">
        <v>1352.14</v>
      </c>
      <c r="H343" s="4">
        <v>3</v>
      </c>
      <c r="I343" s="6">
        <f t="shared" si="10"/>
        <v>0.27463597236863219</v>
      </c>
      <c r="J343" t="str">
        <f t="shared" si="11"/>
        <v>Aug-2025</v>
      </c>
    </row>
    <row r="344" spans="1:10" x14ac:dyDescent="0.3">
      <c r="A344" s="4" t="s">
        <v>591</v>
      </c>
      <c r="B344" s="5" t="s">
        <v>592</v>
      </c>
      <c r="C344" s="4" t="s">
        <v>10</v>
      </c>
      <c r="D344" s="4" t="s">
        <v>20</v>
      </c>
      <c r="E344" s="4" t="s">
        <v>12</v>
      </c>
      <c r="F344" s="4">
        <v>1075.6600000000001</v>
      </c>
      <c r="G344" s="4">
        <v>270.17</v>
      </c>
      <c r="H344" s="4">
        <v>7</v>
      </c>
      <c r="I344" s="6">
        <f t="shared" si="10"/>
        <v>0.25116672554524666</v>
      </c>
      <c r="J344" t="str">
        <f t="shared" si="11"/>
        <v>Mar-2025</v>
      </c>
    </row>
    <row r="345" spans="1:10" x14ac:dyDescent="0.3">
      <c r="A345" s="4" t="s">
        <v>593</v>
      </c>
      <c r="B345" s="5" t="s">
        <v>69</v>
      </c>
      <c r="C345" s="4" t="s">
        <v>24</v>
      </c>
      <c r="D345" s="4" t="s">
        <v>46</v>
      </c>
      <c r="E345" s="4" t="s">
        <v>41</v>
      </c>
      <c r="F345" s="4">
        <v>1465.88</v>
      </c>
      <c r="G345" s="4">
        <v>326.23</v>
      </c>
      <c r="H345" s="4">
        <v>9</v>
      </c>
      <c r="I345" s="6">
        <f t="shared" si="10"/>
        <v>0.22254891259857559</v>
      </c>
      <c r="J345" t="str">
        <f t="shared" si="11"/>
        <v>Dec-2025</v>
      </c>
    </row>
    <row r="346" spans="1:10" x14ac:dyDescent="0.3">
      <c r="A346" s="4" t="s">
        <v>594</v>
      </c>
      <c r="B346" s="5" t="s">
        <v>350</v>
      </c>
      <c r="C346" s="4" t="s">
        <v>24</v>
      </c>
      <c r="D346" s="4" t="s">
        <v>11</v>
      </c>
      <c r="E346" s="4" t="s">
        <v>12</v>
      </c>
      <c r="F346" s="4">
        <v>3430.83</v>
      </c>
      <c r="G346" s="4">
        <v>650.1</v>
      </c>
      <c r="H346" s="4">
        <v>9</v>
      </c>
      <c r="I346" s="6">
        <f t="shared" si="10"/>
        <v>0.18948767499409766</v>
      </c>
      <c r="J346" t="str">
        <f t="shared" si="11"/>
        <v>Apr-2025</v>
      </c>
    </row>
    <row r="347" spans="1:10" x14ac:dyDescent="0.3">
      <c r="A347" s="4" t="s">
        <v>595</v>
      </c>
      <c r="B347" s="5" t="s">
        <v>269</v>
      </c>
      <c r="C347" s="4" t="s">
        <v>15</v>
      </c>
      <c r="D347" s="4" t="s">
        <v>37</v>
      </c>
      <c r="E347" s="4" t="s">
        <v>17</v>
      </c>
      <c r="F347" s="4">
        <v>1739.13</v>
      </c>
      <c r="G347" s="4">
        <v>440.63</v>
      </c>
      <c r="H347" s="4">
        <v>8</v>
      </c>
      <c r="I347" s="6">
        <f t="shared" si="10"/>
        <v>0.25336231334057829</v>
      </c>
      <c r="J347" t="str">
        <f t="shared" si="11"/>
        <v>Jun-2025</v>
      </c>
    </row>
    <row r="348" spans="1:10" x14ac:dyDescent="0.3">
      <c r="A348" s="4" t="s">
        <v>596</v>
      </c>
      <c r="B348" s="5" t="s">
        <v>597</v>
      </c>
      <c r="C348" s="4" t="s">
        <v>15</v>
      </c>
      <c r="D348" s="4" t="s">
        <v>95</v>
      </c>
      <c r="E348" s="4" t="s">
        <v>17</v>
      </c>
      <c r="F348" s="4">
        <v>4542.43</v>
      </c>
      <c r="G348" s="4">
        <v>314.42</v>
      </c>
      <c r="H348" s="4">
        <v>8</v>
      </c>
      <c r="I348" s="6">
        <f t="shared" si="10"/>
        <v>6.9218457961927868E-2</v>
      </c>
      <c r="J348" t="str">
        <f t="shared" si="11"/>
        <v>Nov-2025</v>
      </c>
    </row>
    <row r="349" spans="1:10" x14ac:dyDescent="0.3">
      <c r="A349" s="4" t="s">
        <v>598</v>
      </c>
      <c r="B349" s="5" t="s">
        <v>599</v>
      </c>
      <c r="C349" s="4" t="s">
        <v>24</v>
      </c>
      <c r="D349" s="4" t="s">
        <v>37</v>
      </c>
      <c r="E349" s="4" t="s">
        <v>17</v>
      </c>
      <c r="F349" s="4">
        <v>4500.1000000000004</v>
      </c>
      <c r="G349" s="4">
        <v>1104.95</v>
      </c>
      <c r="H349" s="4">
        <v>7</v>
      </c>
      <c r="I349" s="6">
        <f t="shared" si="10"/>
        <v>0.24553898802248839</v>
      </c>
      <c r="J349" t="str">
        <f t="shared" si="11"/>
        <v>Jun-2025</v>
      </c>
    </row>
    <row r="350" spans="1:10" x14ac:dyDescent="0.3">
      <c r="A350" s="4" t="s">
        <v>600</v>
      </c>
      <c r="B350" s="5" t="s">
        <v>369</v>
      </c>
      <c r="C350" s="4" t="s">
        <v>34</v>
      </c>
      <c r="D350" s="4" t="s">
        <v>37</v>
      </c>
      <c r="E350" s="4" t="s">
        <v>17</v>
      </c>
      <c r="F350" s="4">
        <v>192.58</v>
      </c>
      <c r="G350" s="4">
        <v>48.91</v>
      </c>
      <c r="H350" s="4">
        <v>3</v>
      </c>
      <c r="I350" s="6">
        <f t="shared" si="10"/>
        <v>0.25397237511683451</v>
      </c>
      <c r="J350" t="str">
        <f t="shared" si="11"/>
        <v>Oct-2025</v>
      </c>
    </row>
    <row r="351" spans="1:10" x14ac:dyDescent="0.3">
      <c r="A351" s="4" t="s">
        <v>601</v>
      </c>
      <c r="B351" s="5" t="s">
        <v>283</v>
      </c>
      <c r="C351" s="4" t="s">
        <v>15</v>
      </c>
      <c r="D351" s="4" t="s">
        <v>46</v>
      </c>
      <c r="E351" s="4" t="s">
        <v>41</v>
      </c>
      <c r="F351" s="4">
        <v>4225.66</v>
      </c>
      <c r="G351" s="4">
        <v>982.69</v>
      </c>
      <c r="H351" s="4">
        <v>8</v>
      </c>
      <c r="I351" s="6">
        <f t="shared" si="10"/>
        <v>0.23255302130318106</v>
      </c>
      <c r="J351" t="str">
        <f t="shared" si="11"/>
        <v>Dec-2025</v>
      </c>
    </row>
    <row r="352" spans="1:10" x14ac:dyDescent="0.3">
      <c r="A352" s="4" t="s">
        <v>602</v>
      </c>
      <c r="B352" s="5" t="s">
        <v>503</v>
      </c>
      <c r="C352" s="4" t="s">
        <v>24</v>
      </c>
      <c r="D352" s="4" t="s">
        <v>27</v>
      </c>
      <c r="E352" s="4" t="s">
        <v>12</v>
      </c>
      <c r="F352" s="4">
        <v>1647.27</v>
      </c>
      <c r="G352" s="4">
        <v>104.43</v>
      </c>
      <c r="H352" s="4">
        <v>2</v>
      </c>
      <c r="I352" s="6">
        <f t="shared" si="10"/>
        <v>6.3395800324172732E-2</v>
      </c>
      <c r="J352" t="str">
        <f t="shared" si="11"/>
        <v>Oct-2025</v>
      </c>
    </row>
    <row r="353" spans="1:10" x14ac:dyDescent="0.3">
      <c r="A353" s="4" t="s">
        <v>603</v>
      </c>
      <c r="B353" s="5" t="s">
        <v>88</v>
      </c>
      <c r="C353" s="4" t="s">
        <v>15</v>
      </c>
      <c r="D353" s="4" t="s">
        <v>11</v>
      </c>
      <c r="E353" s="4" t="s">
        <v>12</v>
      </c>
      <c r="F353" s="4">
        <v>4048.26</v>
      </c>
      <c r="G353" s="4">
        <v>298.19</v>
      </c>
      <c r="H353" s="4">
        <v>6</v>
      </c>
      <c r="I353" s="6">
        <f t="shared" si="10"/>
        <v>7.3658806499582535E-2</v>
      </c>
      <c r="J353" t="str">
        <f t="shared" si="11"/>
        <v>Feb-2025</v>
      </c>
    </row>
    <row r="354" spans="1:10" x14ac:dyDescent="0.3">
      <c r="A354" s="4" t="s">
        <v>604</v>
      </c>
      <c r="B354" s="5" t="s">
        <v>348</v>
      </c>
      <c r="C354" s="4" t="s">
        <v>15</v>
      </c>
      <c r="D354" s="4" t="s">
        <v>16</v>
      </c>
      <c r="E354" s="4" t="s">
        <v>17</v>
      </c>
      <c r="F354" s="4">
        <v>555.32000000000005</v>
      </c>
      <c r="G354" s="4">
        <v>42.61</v>
      </c>
      <c r="H354" s="4">
        <v>7</v>
      </c>
      <c r="I354" s="6">
        <f t="shared" si="10"/>
        <v>7.6730533746308421E-2</v>
      </c>
      <c r="J354" t="str">
        <f t="shared" si="11"/>
        <v>Sep-2025</v>
      </c>
    </row>
    <row r="355" spans="1:10" x14ac:dyDescent="0.3">
      <c r="A355" s="4" t="s">
        <v>605</v>
      </c>
      <c r="B355" s="5" t="s">
        <v>606</v>
      </c>
      <c r="C355" s="4" t="s">
        <v>15</v>
      </c>
      <c r="D355" s="4" t="s">
        <v>95</v>
      </c>
      <c r="E355" s="4" t="s">
        <v>17</v>
      </c>
      <c r="F355" s="4">
        <v>2965.89</v>
      </c>
      <c r="G355" s="4">
        <v>885.18</v>
      </c>
      <c r="H355" s="4">
        <v>4</v>
      </c>
      <c r="I355" s="6">
        <f t="shared" si="10"/>
        <v>0.29845341533232855</v>
      </c>
      <c r="J355" t="str">
        <f t="shared" si="11"/>
        <v>Jun-2025</v>
      </c>
    </row>
    <row r="356" spans="1:10" x14ac:dyDescent="0.3">
      <c r="A356" s="4" t="s">
        <v>607</v>
      </c>
      <c r="B356" s="5" t="s">
        <v>119</v>
      </c>
      <c r="C356" s="4" t="s">
        <v>34</v>
      </c>
      <c r="D356" s="4" t="s">
        <v>16</v>
      </c>
      <c r="E356" s="4" t="s">
        <v>17</v>
      </c>
      <c r="F356" s="4">
        <v>1710.48</v>
      </c>
      <c r="G356" s="4">
        <v>167.38</v>
      </c>
      <c r="H356" s="4">
        <v>10</v>
      </c>
      <c r="I356" s="6">
        <f t="shared" si="10"/>
        <v>9.7855572704737853E-2</v>
      </c>
      <c r="J356" t="str">
        <f t="shared" si="11"/>
        <v>Mar-2025</v>
      </c>
    </row>
    <row r="357" spans="1:10" x14ac:dyDescent="0.3">
      <c r="A357" s="4" t="s">
        <v>608</v>
      </c>
      <c r="B357" s="5" t="s">
        <v>387</v>
      </c>
      <c r="C357" s="4" t="s">
        <v>15</v>
      </c>
      <c r="D357" s="4" t="s">
        <v>20</v>
      </c>
      <c r="E357" s="4" t="s">
        <v>12</v>
      </c>
      <c r="F357" s="4">
        <v>2491.89</v>
      </c>
      <c r="G357" s="4">
        <v>770.94</v>
      </c>
      <c r="H357" s="4">
        <v>5</v>
      </c>
      <c r="I357" s="6">
        <f t="shared" si="10"/>
        <v>0.30937962751164783</v>
      </c>
      <c r="J357" t="str">
        <f t="shared" si="11"/>
        <v>Jun-2025</v>
      </c>
    </row>
    <row r="358" spans="1:10" x14ac:dyDescent="0.3">
      <c r="A358" s="4" t="s">
        <v>609</v>
      </c>
      <c r="B358" s="5" t="s">
        <v>610</v>
      </c>
      <c r="C358" s="4" t="s">
        <v>15</v>
      </c>
      <c r="D358" s="4" t="s">
        <v>20</v>
      </c>
      <c r="E358" s="4" t="s">
        <v>12</v>
      </c>
      <c r="F358" s="4">
        <v>2391.11</v>
      </c>
      <c r="G358" s="4">
        <v>722.82</v>
      </c>
      <c r="H358" s="4">
        <v>5</v>
      </c>
      <c r="I358" s="6">
        <f t="shared" si="10"/>
        <v>0.30229475013696566</v>
      </c>
      <c r="J358" t="str">
        <f t="shared" si="11"/>
        <v>Jan-2025</v>
      </c>
    </row>
    <row r="359" spans="1:10" x14ac:dyDescent="0.3">
      <c r="A359" s="4" t="s">
        <v>611</v>
      </c>
      <c r="B359" s="5" t="s">
        <v>145</v>
      </c>
      <c r="C359" s="4" t="s">
        <v>24</v>
      </c>
      <c r="D359" s="4" t="s">
        <v>46</v>
      </c>
      <c r="E359" s="4" t="s">
        <v>41</v>
      </c>
      <c r="F359" s="4">
        <v>4769.3500000000004</v>
      </c>
      <c r="G359" s="4">
        <v>1429.58</v>
      </c>
      <c r="H359" s="4">
        <v>9</v>
      </c>
      <c r="I359" s="6">
        <f t="shared" si="10"/>
        <v>0.2997431515825007</v>
      </c>
      <c r="J359" t="str">
        <f t="shared" si="11"/>
        <v>Jul-2025</v>
      </c>
    </row>
    <row r="360" spans="1:10" x14ac:dyDescent="0.3">
      <c r="A360" s="4" t="s">
        <v>612</v>
      </c>
      <c r="B360" s="5" t="s">
        <v>73</v>
      </c>
      <c r="C360" s="4" t="s">
        <v>24</v>
      </c>
      <c r="D360" s="4" t="s">
        <v>11</v>
      </c>
      <c r="E360" s="4" t="s">
        <v>12</v>
      </c>
      <c r="F360" s="4">
        <v>833.69</v>
      </c>
      <c r="G360" s="4">
        <v>85.49</v>
      </c>
      <c r="H360" s="4">
        <v>7</v>
      </c>
      <c r="I360" s="6">
        <f t="shared" si="10"/>
        <v>0.10254411112044044</v>
      </c>
      <c r="J360" t="str">
        <f t="shared" si="11"/>
        <v>Dec-2025</v>
      </c>
    </row>
    <row r="361" spans="1:10" x14ac:dyDescent="0.3">
      <c r="A361" s="4" t="s">
        <v>613</v>
      </c>
      <c r="B361" s="5" t="s">
        <v>169</v>
      </c>
      <c r="C361" s="4" t="s">
        <v>24</v>
      </c>
      <c r="D361" s="4" t="s">
        <v>37</v>
      </c>
      <c r="E361" s="4" t="s">
        <v>17</v>
      </c>
      <c r="F361" s="4">
        <v>4748.01</v>
      </c>
      <c r="G361" s="4">
        <v>1471.65</v>
      </c>
      <c r="H361" s="4">
        <v>2</v>
      </c>
      <c r="I361" s="6">
        <f t="shared" si="10"/>
        <v>0.30995090574788176</v>
      </c>
      <c r="J361" t="str">
        <f t="shared" si="11"/>
        <v>Feb-2025</v>
      </c>
    </row>
    <row r="362" spans="1:10" x14ac:dyDescent="0.3">
      <c r="A362" s="4" t="s">
        <v>614</v>
      </c>
      <c r="B362" s="5" t="s">
        <v>389</v>
      </c>
      <c r="C362" s="4" t="s">
        <v>15</v>
      </c>
      <c r="D362" s="4" t="s">
        <v>46</v>
      </c>
      <c r="E362" s="4" t="s">
        <v>41</v>
      </c>
      <c r="F362" s="4">
        <v>2013.68</v>
      </c>
      <c r="G362" s="4">
        <v>453.75</v>
      </c>
      <c r="H362" s="4">
        <v>2</v>
      </c>
      <c r="I362" s="6">
        <f t="shared" si="10"/>
        <v>0.22533371737316751</v>
      </c>
      <c r="J362" t="str">
        <f t="shared" si="11"/>
        <v>Dec-2025</v>
      </c>
    </row>
    <row r="363" spans="1:10" x14ac:dyDescent="0.3">
      <c r="A363" s="4" t="s">
        <v>615</v>
      </c>
      <c r="B363" s="5" t="s">
        <v>616</v>
      </c>
      <c r="C363" s="4" t="s">
        <v>15</v>
      </c>
      <c r="D363" s="4" t="s">
        <v>20</v>
      </c>
      <c r="E363" s="4" t="s">
        <v>12</v>
      </c>
      <c r="F363" s="4">
        <v>149.74</v>
      </c>
      <c r="G363" s="4">
        <v>31.61</v>
      </c>
      <c r="H363" s="4">
        <v>4</v>
      </c>
      <c r="I363" s="6">
        <f t="shared" si="10"/>
        <v>0.2110992386803793</v>
      </c>
      <c r="J363" t="str">
        <f t="shared" si="11"/>
        <v>Apr-2025</v>
      </c>
    </row>
    <row r="364" spans="1:10" x14ac:dyDescent="0.3">
      <c r="A364" s="4" t="s">
        <v>617</v>
      </c>
      <c r="B364" s="5" t="s">
        <v>26</v>
      </c>
      <c r="C364" s="4" t="s">
        <v>24</v>
      </c>
      <c r="D364" s="4" t="s">
        <v>95</v>
      </c>
      <c r="E364" s="4" t="s">
        <v>17</v>
      </c>
      <c r="F364" s="4">
        <v>4976.57</v>
      </c>
      <c r="G364" s="4">
        <v>1187.74</v>
      </c>
      <c r="H364" s="4">
        <v>5</v>
      </c>
      <c r="I364" s="6">
        <f t="shared" si="10"/>
        <v>0.23866639070685233</v>
      </c>
      <c r="J364" t="str">
        <f t="shared" si="11"/>
        <v>Feb-2025</v>
      </c>
    </row>
    <row r="365" spans="1:10" x14ac:dyDescent="0.3">
      <c r="A365" s="4" t="s">
        <v>618</v>
      </c>
      <c r="B365" s="5" t="s">
        <v>452</v>
      </c>
      <c r="C365" s="4" t="s">
        <v>34</v>
      </c>
      <c r="D365" s="4" t="s">
        <v>46</v>
      </c>
      <c r="E365" s="4" t="s">
        <v>41</v>
      </c>
      <c r="F365" s="4">
        <v>3832.21</v>
      </c>
      <c r="G365" s="4">
        <v>1303.19</v>
      </c>
      <c r="H365" s="4">
        <v>3</v>
      </c>
      <c r="I365" s="6">
        <f t="shared" si="10"/>
        <v>0.34006226172365295</v>
      </c>
      <c r="J365" t="str">
        <f t="shared" si="11"/>
        <v>Sep-2025</v>
      </c>
    </row>
    <row r="366" spans="1:10" x14ac:dyDescent="0.3">
      <c r="A366" s="4" t="s">
        <v>619</v>
      </c>
      <c r="B366" s="5" t="s">
        <v>620</v>
      </c>
      <c r="C366" s="4" t="s">
        <v>34</v>
      </c>
      <c r="D366" s="4" t="s">
        <v>37</v>
      </c>
      <c r="E366" s="4" t="s">
        <v>17</v>
      </c>
      <c r="F366" s="4">
        <v>3326.13</v>
      </c>
      <c r="G366" s="4">
        <v>930.62</v>
      </c>
      <c r="H366" s="4">
        <v>1</v>
      </c>
      <c r="I366" s="6">
        <f t="shared" si="10"/>
        <v>0.27979062754612716</v>
      </c>
      <c r="J366" t="str">
        <f t="shared" si="11"/>
        <v>Dec-2025</v>
      </c>
    </row>
    <row r="367" spans="1:10" x14ac:dyDescent="0.3">
      <c r="A367" s="4" t="s">
        <v>621</v>
      </c>
      <c r="B367" s="5" t="s">
        <v>219</v>
      </c>
      <c r="C367" s="4" t="s">
        <v>24</v>
      </c>
      <c r="D367" s="4" t="s">
        <v>16</v>
      </c>
      <c r="E367" s="4" t="s">
        <v>17</v>
      </c>
      <c r="F367" s="4">
        <v>2908.17</v>
      </c>
      <c r="G367" s="4">
        <v>996.14</v>
      </c>
      <c r="H367" s="4">
        <v>2</v>
      </c>
      <c r="I367" s="6">
        <f t="shared" si="10"/>
        <v>0.34253155764621734</v>
      </c>
      <c r="J367" t="str">
        <f t="shared" si="11"/>
        <v>Jun-2025</v>
      </c>
    </row>
    <row r="368" spans="1:10" x14ac:dyDescent="0.3">
      <c r="A368" s="4" t="s">
        <v>622</v>
      </c>
      <c r="B368" s="5" t="s">
        <v>369</v>
      </c>
      <c r="C368" s="4" t="s">
        <v>24</v>
      </c>
      <c r="D368" s="4" t="s">
        <v>46</v>
      </c>
      <c r="E368" s="4" t="s">
        <v>41</v>
      </c>
      <c r="F368" s="4">
        <v>2724.59</v>
      </c>
      <c r="G368" s="4">
        <v>168.25</v>
      </c>
      <c r="H368" s="4">
        <v>5</v>
      </c>
      <c r="I368" s="6">
        <f t="shared" si="10"/>
        <v>6.1752410454416991E-2</v>
      </c>
      <c r="J368" t="str">
        <f t="shared" si="11"/>
        <v>Oct-2025</v>
      </c>
    </row>
    <row r="369" spans="1:10" x14ac:dyDescent="0.3">
      <c r="A369" s="4" t="s">
        <v>623</v>
      </c>
      <c r="B369" s="5" t="s">
        <v>215</v>
      </c>
      <c r="C369" s="4" t="s">
        <v>10</v>
      </c>
      <c r="D369" s="4" t="s">
        <v>37</v>
      </c>
      <c r="E369" s="4" t="s">
        <v>17</v>
      </c>
      <c r="F369" s="4">
        <v>2499.46</v>
      </c>
      <c r="G369" s="4">
        <v>247.77</v>
      </c>
      <c r="H369" s="4">
        <v>3</v>
      </c>
      <c r="I369" s="6">
        <f t="shared" si="10"/>
        <v>9.9129411952981847E-2</v>
      </c>
      <c r="J369" t="str">
        <f t="shared" si="11"/>
        <v>Jun-2025</v>
      </c>
    </row>
    <row r="370" spans="1:10" x14ac:dyDescent="0.3">
      <c r="A370" s="4" t="s">
        <v>624</v>
      </c>
      <c r="B370" s="5" t="s">
        <v>625</v>
      </c>
      <c r="C370" s="4" t="s">
        <v>10</v>
      </c>
      <c r="D370" s="4" t="s">
        <v>27</v>
      </c>
      <c r="E370" s="4" t="s">
        <v>12</v>
      </c>
      <c r="F370" s="4">
        <v>2113.96</v>
      </c>
      <c r="G370" s="4">
        <v>197.33</v>
      </c>
      <c r="H370" s="4">
        <v>5</v>
      </c>
      <c r="I370" s="6">
        <f t="shared" si="10"/>
        <v>9.3346137107608473E-2</v>
      </c>
      <c r="J370" t="str">
        <f t="shared" si="11"/>
        <v>Mar-2025</v>
      </c>
    </row>
    <row r="371" spans="1:10" x14ac:dyDescent="0.3">
      <c r="A371" s="4" t="s">
        <v>626</v>
      </c>
      <c r="B371" s="5" t="s">
        <v>262</v>
      </c>
      <c r="C371" s="4" t="s">
        <v>10</v>
      </c>
      <c r="D371" s="4" t="s">
        <v>11</v>
      </c>
      <c r="E371" s="4" t="s">
        <v>12</v>
      </c>
      <c r="F371" s="4">
        <v>417.45</v>
      </c>
      <c r="G371" s="4">
        <v>57.07</v>
      </c>
      <c r="H371" s="4">
        <v>2</v>
      </c>
      <c r="I371" s="6">
        <f t="shared" si="10"/>
        <v>0.13671098335129955</v>
      </c>
      <c r="J371" t="str">
        <f t="shared" si="11"/>
        <v>Jul-2025</v>
      </c>
    </row>
    <row r="372" spans="1:10" x14ac:dyDescent="0.3">
      <c r="A372" s="4" t="s">
        <v>627</v>
      </c>
      <c r="B372" s="5" t="s">
        <v>415</v>
      </c>
      <c r="C372" s="4" t="s">
        <v>34</v>
      </c>
      <c r="D372" s="4" t="s">
        <v>95</v>
      </c>
      <c r="E372" s="4" t="s">
        <v>17</v>
      </c>
      <c r="F372" s="4">
        <v>724.96</v>
      </c>
      <c r="G372" s="4">
        <v>148.25</v>
      </c>
      <c r="H372" s="4">
        <v>10</v>
      </c>
      <c r="I372" s="6">
        <f t="shared" si="10"/>
        <v>0.2044940410505407</v>
      </c>
      <c r="J372" t="str">
        <f t="shared" si="11"/>
        <v>Jan-2025</v>
      </c>
    </row>
    <row r="373" spans="1:10" x14ac:dyDescent="0.3">
      <c r="A373" s="4" t="s">
        <v>628</v>
      </c>
      <c r="B373" s="5" t="s">
        <v>629</v>
      </c>
      <c r="C373" s="4" t="s">
        <v>24</v>
      </c>
      <c r="D373" s="4" t="s">
        <v>40</v>
      </c>
      <c r="E373" s="4" t="s">
        <v>41</v>
      </c>
      <c r="F373" s="4">
        <v>4058.09</v>
      </c>
      <c r="G373" s="4">
        <v>1172.8</v>
      </c>
      <c r="H373" s="4">
        <v>1</v>
      </c>
      <c r="I373" s="6">
        <f t="shared" si="10"/>
        <v>0.28900295459193853</v>
      </c>
      <c r="J373" t="str">
        <f t="shared" si="11"/>
        <v>Aug-2025</v>
      </c>
    </row>
    <row r="374" spans="1:10" x14ac:dyDescent="0.3">
      <c r="A374" s="4" t="s">
        <v>630</v>
      </c>
      <c r="B374" s="5" t="s">
        <v>631</v>
      </c>
      <c r="C374" s="4" t="s">
        <v>34</v>
      </c>
      <c r="D374" s="4" t="s">
        <v>27</v>
      </c>
      <c r="E374" s="4" t="s">
        <v>12</v>
      </c>
      <c r="F374" s="4">
        <v>1763.16</v>
      </c>
      <c r="G374" s="4">
        <v>122.33</v>
      </c>
      <c r="H374" s="4">
        <v>3</v>
      </c>
      <c r="I374" s="6">
        <f t="shared" si="10"/>
        <v>6.9381111186732902E-2</v>
      </c>
      <c r="J374" t="str">
        <f t="shared" si="11"/>
        <v>Aug-2025</v>
      </c>
    </row>
    <row r="375" spans="1:10" x14ac:dyDescent="0.3">
      <c r="A375" s="4" t="s">
        <v>632</v>
      </c>
      <c r="B375" s="5" t="s">
        <v>79</v>
      </c>
      <c r="C375" s="4" t="s">
        <v>34</v>
      </c>
      <c r="D375" s="4" t="s">
        <v>20</v>
      </c>
      <c r="E375" s="4" t="s">
        <v>12</v>
      </c>
      <c r="F375" s="4">
        <v>3626.28</v>
      </c>
      <c r="G375" s="4">
        <v>512.04</v>
      </c>
      <c r="H375" s="4">
        <v>6</v>
      </c>
      <c r="I375" s="6">
        <f t="shared" si="10"/>
        <v>0.14120255468413909</v>
      </c>
      <c r="J375" t="str">
        <f t="shared" si="11"/>
        <v>Jul-2025</v>
      </c>
    </row>
    <row r="376" spans="1:10" x14ac:dyDescent="0.3">
      <c r="A376" s="4" t="s">
        <v>633</v>
      </c>
      <c r="B376" s="5" t="s">
        <v>180</v>
      </c>
      <c r="C376" s="4" t="s">
        <v>15</v>
      </c>
      <c r="D376" s="4" t="s">
        <v>40</v>
      </c>
      <c r="E376" s="4" t="s">
        <v>41</v>
      </c>
      <c r="F376" s="4">
        <v>208.53</v>
      </c>
      <c r="G376" s="4">
        <v>50.5</v>
      </c>
      <c r="H376" s="4">
        <v>6</v>
      </c>
      <c r="I376" s="6">
        <f t="shared" si="10"/>
        <v>0.24217139020764397</v>
      </c>
      <c r="J376" t="str">
        <f t="shared" si="11"/>
        <v>Feb-2025</v>
      </c>
    </row>
    <row r="377" spans="1:10" x14ac:dyDescent="0.3">
      <c r="A377" s="4" t="s">
        <v>634</v>
      </c>
      <c r="B377" s="5" t="s">
        <v>635</v>
      </c>
      <c r="C377" s="4" t="s">
        <v>10</v>
      </c>
      <c r="D377" s="4" t="s">
        <v>46</v>
      </c>
      <c r="E377" s="4" t="s">
        <v>41</v>
      </c>
      <c r="F377" s="4">
        <v>948.84</v>
      </c>
      <c r="G377" s="4">
        <v>97.93</v>
      </c>
      <c r="H377" s="4">
        <v>4</v>
      </c>
      <c r="I377" s="6">
        <f t="shared" si="10"/>
        <v>0.10321023565616964</v>
      </c>
      <c r="J377" t="str">
        <f t="shared" si="11"/>
        <v>Aug-2025</v>
      </c>
    </row>
    <row r="378" spans="1:10" x14ac:dyDescent="0.3">
      <c r="A378" s="4" t="s">
        <v>636</v>
      </c>
      <c r="B378" s="5" t="s">
        <v>469</v>
      </c>
      <c r="C378" s="4" t="s">
        <v>10</v>
      </c>
      <c r="D378" s="4" t="s">
        <v>11</v>
      </c>
      <c r="E378" s="4" t="s">
        <v>12</v>
      </c>
      <c r="F378" s="4">
        <v>1505.02</v>
      </c>
      <c r="G378" s="4">
        <v>469.81</v>
      </c>
      <c r="H378" s="4">
        <v>1</v>
      </c>
      <c r="I378" s="6">
        <f t="shared" si="10"/>
        <v>0.3121619646250548</v>
      </c>
      <c r="J378" t="str">
        <f t="shared" si="11"/>
        <v>Feb-2025</v>
      </c>
    </row>
    <row r="379" spans="1:10" x14ac:dyDescent="0.3">
      <c r="A379" s="4" t="s">
        <v>637</v>
      </c>
      <c r="B379" s="5" t="s">
        <v>293</v>
      </c>
      <c r="C379" s="4" t="s">
        <v>10</v>
      </c>
      <c r="D379" s="4" t="s">
        <v>11</v>
      </c>
      <c r="E379" s="4" t="s">
        <v>12</v>
      </c>
      <c r="F379" s="4">
        <v>1815.89</v>
      </c>
      <c r="G379" s="4">
        <v>578.59</v>
      </c>
      <c r="H379" s="4">
        <v>4</v>
      </c>
      <c r="I379" s="6">
        <f t="shared" si="10"/>
        <v>0.31862612823463976</v>
      </c>
      <c r="J379" t="str">
        <f t="shared" si="11"/>
        <v>Mar-2025</v>
      </c>
    </row>
    <row r="380" spans="1:10" x14ac:dyDescent="0.3">
      <c r="A380" s="4" t="s">
        <v>638</v>
      </c>
      <c r="B380" s="5" t="s">
        <v>579</v>
      </c>
      <c r="C380" s="4" t="s">
        <v>24</v>
      </c>
      <c r="D380" s="4" t="s">
        <v>16</v>
      </c>
      <c r="E380" s="4" t="s">
        <v>17</v>
      </c>
      <c r="F380" s="4">
        <v>2389.3000000000002</v>
      </c>
      <c r="G380" s="4">
        <v>702.53</v>
      </c>
      <c r="H380" s="4">
        <v>3</v>
      </c>
      <c r="I380" s="6">
        <f t="shared" si="10"/>
        <v>0.29403172477294603</v>
      </c>
      <c r="J380" t="str">
        <f t="shared" si="11"/>
        <v>Feb-2025</v>
      </c>
    </row>
    <row r="381" spans="1:10" x14ac:dyDescent="0.3">
      <c r="A381" s="4" t="s">
        <v>639</v>
      </c>
      <c r="B381" s="5" t="s">
        <v>211</v>
      </c>
      <c r="C381" s="4" t="s">
        <v>24</v>
      </c>
      <c r="D381" s="4" t="s">
        <v>46</v>
      </c>
      <c r="E381" s="4" t="s">
        <v>41</v>
      </c>
      <c r="F381" s="4">
        <v>210.32</v>
      </c>
      <c r="G381" s="4">
        <v>54.7</v>
      </c>
      <c r="H381" s="4">
        <v>6</v>
      </c>
      <c r="I381" s="6">
        <f t="shared" si="10"/>
        <v>0.2600798782807151</v>
      </c>
      <c r="J381" t="str">
        <f t="shared" si="11"/>
        <v>Nov-2025</v>
      </c>
    </row>
    <row r="382" spans="1:10" x14ac:dyDescent="0.3">
      <c r="A382" s="4" t="s">
        <v>640</v>
      </c>
      <c r="B382" s="5" t="s">
        <v>641</v>
      </c>
      <c r="C382" s="4" t="s">
        <v>24</v>
      </c>
      <c r="D382" s="4" t="s">
        <v>40</v>
      </c>
      <c r="E382" s="4" t="s">
        <v>41</v>
      </c>
      <c r="F382" s="4">
        <v>4224.4799999999996</v>
      </c>
      <c r="G382" s="4">
        <v>1334.07</v>
      </c>
      <c r="H382" s="4">
        <v>9</v>
      </c>
      <c r="I382" s="6">
        <f t="shared" si="10"/>
        <v>0.31579508010453361</v>
      </c>
      <c r="J382" t="str">
        <f t="shared" si="11"/>
        <v>May-2025</v>
      </c>
    </row>
    <row r="383" spans="1:10" x14ac:dyDescent="0.3">
      <c r="A383" s="4" t="s">
        <v>642</v>
      </c>
      <c r="B383" s="5" t="s">
        <v>111</v>
      </c>
      <c r="C383" s="4" t="s">
        <v>10</v>
      </c>
      <c r="D383" s="4" t="s">
        <v>46</v>
      </c>
      <c r="E383" s="4" t="s">
        <v>41</v>
      </c>
      <c r="F383" s="4">
        <v>2699.64</v>
      </c>
      <c r="G383" s="4">
        <v>306.22000000000003</v>
      </c>
      <c r="H383" s="4">
        <v>9</v>
      </c>
      <c r="I383" s="6">
        <f t="shared" si="10"/>
        <v>0.11342993880665572</v>
      </c>
      <c r="J383" t="str">
        <f t="shared" si="11"/>
        <v>Sep-2025</v>
      </c>
    </row>
    <row r="384" spans="1:10" x14ac:dyDescent="0.3">
      <c r="A384" s="4" t="s">
        <v>643</v>
      </c>
      <c r="B384" s="5" t="s">
        <v>610</v>
      </c>
      <c r="C384" s="4" t="s">
        <v>10</v>
      </c>
      <c r="D384" s="4" t="s">
        <v>40</v>
      </c>
      <c r="E384" s="4" t="s">
        <v>41</v>
      </c>
      <c r="F384" s="4">
        <v>1901.77</v>
      </c>
      <c r="G384" s="4">
        <v>489.07</v>
      </c>
      <c r="H384" s="4">
        <v>6</v>
      </c>
      <c r="I384" s="6">
        <f t="shared" si="10"/>
        <v>0.25716569301229908</v>
      </c>
      <c r="J384" t="str">
        <f t="shared" si="11"/>
        <v>Jan-2025</v>
      </c>
    </row>
    <row r="385" spans="1:10" x14ac:dyDescent="0.3">
      <c r="A385" s="4" t="s">
        <v>644</v>
      </c>
      <c r="B385" s="5" t="s">
        <v>645</v>
      </c>
      <c r="C385" s="4" t="s">
        <v>24</v>
      </c>
      <c r="D385" s="4" t="s">
        <v>40</v>
      </c>
      <c r="E385" s="4" t="s">
        <v>41</v>
      </c>
      <c r="F385" s="4">
        <v>2155.31</v>
      </c>
      <c r="G385" s="4">
        <v>362.35</v>
      </c>
      <c r="H385" s="4">
        <v>6</v>
      </c>
      <c r="I385" s="6">
        <f t="shared" si="10"/>
        <v>0.16811966724044339</v>
      </c>
      <c r="J385" t="str">
        <f t="shared" si="11"/>
        <v>Aug-2025</v>
      </c>
    </row>
    <row r="386" spans="1:10" x14ac:dyDescent="0.3">
      <c r="A386" s="4" t="s">
        <v>646</v>
      </c>
      <c r="B386" s="5" t="s">
        <v>36</v>
      </c>
      <c r="C386" s="4" t="s">
        <v>34</v>
      </c>
      <c r="D386" s="4" t="s">
        <v>27</v>
      </c>
      <c r="E386" s="4" t="s">
        <v>12</v>
      </c>
      <c r="F386" s="4">
        <v>609.05999999999995</v>
      </c>
      <c r="G386" s="4">
        <v>164.57</v>
      </c>
      <c r="H386" s="4">
        <v>8</v>
      </c>
      <c r="I386" s="6">
        <f t="shared" si="10"/>
        <v>0.27020326404623518</v>
      </c>
      <c r="J386" t="str">
        <f t="shared" si="11"/>
        <v>Mar-2025</v>
      </c>
    </row>
    <row r="387" spans="1:10" x14ac:dyDescent="0.3">
      <c r="A387" s="4" t="s">
        <v>647</v>
      </c>
      <c r="B387" s="5" t="s">
        <v>648</v>
      </c>
      <c r="C387" s="4" t="s">
        <v>10</v>
      </c>
      <c r="D387" s="4" t="s">
        <v>40</v>
      </c>
      <c r="E387" s="4" t="s">
        <v>41</v>
      </c>
      <c r="F387" s="4">
        <v>719.06</v>
      </c>
      <c r="G387" s="4">
        <v>84.16</v>
      </c>
      <c r="H387" s="4">
        <v>2</v>
      </c>
      <c r="I387" s="6">
        <f t="shared" ref="I387:I450" si="12">G387/F387</f>
        <v>0.11704169332183685</v>
      </c>
      <c r="J387" t="str">
        <f t="shared" ref="J387:J450" si="13">TEXT(B387,"mmm-yyyy")</f>
        <v>Oct-2025</v>
      </c>
    </row>
    <row r="388" spans="1:10" x14ac:dyDescent="0.3">
      <c r="A388" s="4" t="s">
        <v>649</v>
      </c>
      <c r="B388" s="5" t="s">
        <v>650</v>
      </c>
      <c r="C388" s="4" t="s">
        <v>34</v>
      </c>
      <c r="D388" s="4" t="s">
        <v>46</v>
      </c>
      <c r="E388" s="4" t="s">
        <v>41</v>
      </c>
      <c r="F388" s="4">
        <v>1741.71</v>
      </c>
      <c r="G388" s="4">
        <v>166.25</v>
      </c>
      <c r="H388" s="4">
        <v>10</v>
      </c>
      <c r="I388" s="6">
        <f t="shared" si="12"/>
        <v>9.5452170568005007E-2</v>
      </c>
      <c r="J388" t="str">
        <f t="shared" si="13"/>
        <v>Mar-2025</v>
      </c>
    </row>
    <row r="389" spans="1:10" x14ac:dyDescent="0.3">
      <c r="A389" s="4" t="s">
        <v>651</v>
      </c>
      <c r="B389" s="5" t="s">
        <v>548</v>
      </c>
      <c r="C389" s="4" t="s">
        <v>15</v>
      </c>
      <c r="D389" s="4" t="s">
        <v>20</v>
      </c>
      <c r="E389" s="4" t="s">
        <v>12</v>
      </c>
      <c r="F389" s="4">
        <v>1868.93</v>
      </c>
      <c r="G389" s="4">
        <v>607.44000000000005</v>
      </c>
      <c r="H389" s="4">
        <v>10</v>
      </c>
      <c r="I389" s="6">
        <f t="shared" si="12"/>
        <v>0.32502019872333371</v>
      </c>
      <c r="J389" t="str">
        <f t="shared" si="13"/>
        <v>Oct-2025</v>
      </c>
    </row>
    <row r="390" spans="1:10" x14ac:dyDescent="0.3">
      <c r="A390" s="4" t="s">
        <v>652</v>
      </c>
      <c r="B390" s="5" t="s">
        <v>43</v>
      </c>
      <c r="C390" s="4" t="s">
        <v>15</v>
      </c>
      <c r="D390" s="4" t="s">
        <v>46</v>
      </c>
      <c r="E390" s="4" t="s">
        <v>41</v>
      </c>
      <c r="F390" s="4">
        <v>3457.15</v>
      </c>
      <c r="G390" s="4">
        <v>396.27</v>
      </c>
      <c r="H390" s="4">
        <v>7</v>
      </c>
      <c r="I390" s="6">
        <f t="shared" si="12"/>
        <v>0.11462331689397336</v>
      </c>
      <c r="J390" t="str">
        <f t="shared" si="13"/>
        <v>Feb-2025</v>
      </c>
    </row>
    <row r="391" spans="1:10" x14ac:dyDescent="0.3">
      <c r="A391" s="4" t="s">
        <v>653</v>
      </c>
      <c r="B391" s="5" t="s">
        <v>224</v>
      </c>
      <c r="C391" s="4" t="s">
        <v>34</v>
      </c>
      <c r="D391" s="4" t="s">
        <v>95</v>
      </c>
      <c r="E391" s="4" t="s">
        <v>17</v>
      </c>
      <c r="F391" s="4">
        <v>3163.71</v>
      </c>
      <c r="G391" s="4">
        <v>223.58</v>
      </c>
      <c r="H391" s="4">
        <v>4</v>
      </c>
      <c r="I391" s="6">
        <f t="shared" si="12"/>
        <v>7.0670194170767864E-2</v>
      </c>
      <c r="J391" t="str">
        <f t="shared" si="13"/>
        <v>Jun-2025</v>
      </c>
    </row>
    <row r="392" spans="1:10" x14ac:dyDescent="0.3">
      <c r="A392" s="4" t="s">
        <v>654</v>
      </c>
      <c r="B392" s="5" t="s">
        <v>655</v>
      </c>
      <c r="C392" s="4" t="s">
        <v>10</v>
      </c>
      <c r="D392" s="4" t="s">
        <v>37</v>
      </c>
      <c r="E392" s="4" t="s">
        <v>17</v>
      </c>
      <c r="F392" s="4">
        <v>1832.28</v>
      </c>
      <c r="G392" s="4">
        <v>282.06</v>
      </c>
      <c r="H392" s="4">
        <v>7</v>
      </c>
      <c r="I392" s="6">
        <f t="shared" si="12"/>
        <v>0.15393935424716745</v>
      </c>
      <c r="J392" t="str">
        <f t="shared" si="13"/>
        <v>May-2025</v>
      </c>
    </row>
    <row r="393" spans="1:10" x14ac:dyDescent="0.3">
      <c r="A393" s="4" t="s">
        <v>656</v>
      </c>
      <c r="B393" s="5" t="s">
        <v>657</v>
      </c>
      <c r="C393" s="4" t="s">
        <v>34</v>
      </c>
      <c r="D393" s="4" t="s">
        <v>27</v>
      </c>
      <c r="E393" s="4" t="s">
        <v>12</v>
      </c>
      <c r="F393" s="4">
        <v>4911.72</v>
      </c>
      <c r="G393" s="4">
        <v>660.11</v>
      </c>
      <c r="H393" s="4">
        <v>10</v>
      </c>
      <c r="I393" s="6">
        <f t="shared" si="12"/>
        <v>0.13439487592940966</v>
      </c>
      <c r="J393" t="str">
        <f t="shared" si="13"/>
        <v>May-2025</v>
      </c>
    </row>
    <row r="394" spans="1:10" x14ac:dyDescent="0.3">
      <c r="A394" s="4" t="s">
        <v>658</v>
      </c>
      <c r="B394" s="5" t="s">
        <v>161</v>
      </c>
      <c r="C394" s="4" t="s">
        <v>24</v>
      </c>
      <c r="D394" s="4" t="s">
        <v>16</v>
      </c>
      <c r="E394" s="4" t="s">
        <v>17</v>
      </c>
      <c r="F394" s="4">
        <v>3004.65</v>
      </c>
      <c r="G394" s="4">
        <v>574.9</v>
      </c>
      <c r="H394" s="4">
        <v>4</v>
      </c>
      <c r="I394" s="6">
        <f t="shared" si="12"/>
        <v>0.1913367613532358</v>
      </c>
      <c r="J394" t="str">
        <f t="shared" si="13"/>
        <v>May-2025</v>
      </c>
    </row>
    <row r="395" spans="1:10" x14ac:dyDescent="0.3">
      <c r="A395" s="4" t="s">
        <v>659</v>
      </c>
      <c r="B395" s="5" t="s">
        <v>660</v>
      </c>
      <c r="C395" s="4" t="s">
        <v>34</v>
      </c>
      <c r="D395" s="4" t="s">
        <v>95</v>
      </c>
      <c r="E395" s="4" t="s">
        <v>17</v>
      </c>
      <c r="F395" s="4">
        <v>2118.65</v>
      </c>
      <c r="G395" s="4">
        <v>239.67</v>
      </c>
      <c r="H395" s="4">
        <v>9</v>
      </c>
      <c r="I395" s="6">
        <f t="shared" si="12"/>
        <v>0.11312392325301487</v>
      </c>
      <c r="J395" t="str">
        <f t="shared" si="13"/>
        <v>Apr-2025</v>
      </c>
    </row>
    <row r="396" spans="1:10" x14ac:dyDescent="0.3">
      <c r="A396" s="4" t="s">
        <v>661</v>
      </c>
      <c r="B396" s="5" t="s">
        <v>662</v>
      </c>
      <c r="C396" s="4" t="s">
        <v>24</v>
      </c>
      <c r="D396" s="4" t="s">
        <v>46</v>
      </c>
      <c r="E396" s="4" t="s">
        <v>41</v>
      </c>
      <c r="F396" s="4">
        <v>4086.28</v>
      </c>
      <c r="G396" s="4">
        <v>462.62</v>
      </c>
      <c r="H396" s="4">
        <v>9</v>
      </c>
      <c r="I396" s="6">
        <f t="shared" si="12"/>
        <v>0.1132129956831152</v>
      </c>
      <c r="J396" t="str">
        <f t="shared" si="13"/>
        <v>Jan-2025</v>
      </c>
    </row>
    <row r="397" spans="1:10" x14ac:dyDescent="0.3">
      <c r="A397" s="4" t="s">
        <v>663</v>
      </c>
      <c r="B397" s="5" t="s">
        <v>101</v>
      </c>
      <c r="C397" s="4" t="s">
        <v>24</v>
      </c>
      <c r="D397" s="4" t="s">
        <v>95</v>
      </c>
      <c r="E397" s="4" t="s">
        <v>17</v>
      </c>
      <c r="F397" s="4">
        <v>4040.56</v>
      </c>
      <c r="G397" s="4">
        <v>385.48</v>
      </c>
      <c r="H397" s="4">
        <v>10</v>
      </c>
      <c r="I397" s="6">
        <f t="shared" si="12"/>
        <v>9.5402617458966096E-2</v>
      </c>
      <c r="J397" t="str">
        <f t="shared" si="13"/>
        <v>Mar-2025</v>
      </c>
    </row>
    <row r="398" spans="1:10" x14ac:dyDescent="0.3">
      <c r="A398" s="4" t="s">
        <v>664</v>
      </c>
      <c r="B398" s="5" t="s">
        <v>413</v>
      </c>
      <c r="C398" s="4" t="s">
        <v>24</v>
      </c>
      <c r="D398" s="4" t="s">
        <v>37</v>
      </c>
      <c r="E398" s="4" t="s">
        <v>17</v>
      </c>
      <c r="F398" s="4">
        <v>2973.96</v>
      </c>
      <c r="G398" s="4">
        <v>206.95</v>
      </c>
      <c r="H398" s="4">
        <v>7</v>
      </c>
      <c r="I398" s="6">
        <f t="shared" si="12"/>
        <v>6.9587351544741688E-2</v>
      </c>
      <c r="J398" t="str">
        <f t="shared" si="13"/>
        <v>Jul-2025</v>
      </c>
    </row>
    <row r="399" spans="1:10" x14ac:dyDescent="0.3">
      <c r="A399" s="4" t="s">
        <v>665</v>
      </c>
      <c r="B399" s="5" t="s">
        <v>291</v>
      </c>
      <c r="C399" s="4" t="s">
        <v>10</v>
      </c>
      <c r="D399" s="4" t="s">
        <v>27</v>
      </c>
      <c r="E399" s="4" t="s">
        <v>12</v>
      </c>
      <c r="F399" s="4">
        <v>894.44</v>
      </c>
      <c r="G399" s="4">
        <v>249.39</v>
      </c>
      <c r="H399" s="4">
        <v>8</v>
      </c>
      <c r="I399" s="6">
        <f t="shared" si="12"/>
        <v>0.27882250346585569</v>
      </c>
      <c r="J399" t="str">
        <f t="shared" si="13"/>
        <v>Nov-2025</v>
      </c>
    </row>
    <row r="400" spans="1:10" x14ac:dyDescent="0.3">
      <c r="A400" s="4" t="s">
        <v>666</v>
      </c>
      <c r="B400" s="5" t="s">
        <v>31</v>
      </c>
      <c r="C400" s="4" t="s">
        <v>10</v>
      </c>
      <c r="D400" s="4" t="s">
        <v>20</v>
      </c>
      <c r="E400" s="4" t="s">
        <v>12</v>
      </c>
      <c r="F400" s="4">
        <v>4233.43</v>
      </c>
      <c r="G400" s="4">
        <v>232.87</v>
      </c>
      <c r="H400" s="4">
        <v>4</v>
      </c>
      <c r="I400" s="6">
        <f t="shared" si="12"/>
        <v>5.5007405342712645E-2</v>
      </c>
      <c r="J400" t="str">
        <f t="shared" si="13"/>
        <v>Nov-2025</v>
      </c>
    </row>
    <row r="401" spans="1:10" x14ac:dyDescent="0.3">
      <c r="A401" s="4" t="s">
        <v>667</v>
      </c>
      <c r="B401" s="5" t="s">
        <v>528</v>
      </c>
      <c r="C401" s="4" t="s">
        <v>10</v>
      </c>
      <c r="D401" s="4" t="s">
        <v>11</v>
      </c>
      <c r="E401" s="4" t="s">
        <v>12</v>
      </c>
      <c r="F401" s="4">
        <v>2449.8200000000002</v>
      </c>
      <c r="G401" s="4">
        <v>695.26</v>
      </c>
      <c r="H401" s="4">
        <v>3</v>
      </c>
      <c r="I401" s="6">
        <f t="shared" si="12"/>
        <v>0.28380044248148839</v>
      </c>
      <c r="J401" t="str">
        <f t="shared" si="13"/>
        <v>Apr-2025</v>
      </c>
    </row>
    <row r="402" spans="1:10" x14ac:dyDescent="0.3">
      <c r="A402" s="4" t="s">
        <v>668</v>
      </c>
      <c r="B402" s="5" t="s">
        <v>361</v>
      </c>
      <c r="C402" s="4" t="s">
        <v>15</v>
      </c>
      <c r="D402" s="4" t="s">
        <v>16</v>
      </c>
      <c r="E402" s="4" t="s">
        <v>17</v>
      </c>
      <c r="F402" s="4">
        <v>3189.48</v>
      </c>
      <c r="G402" s="4">
        <v>547.21</v>
      </c>
      <c r="H402" s="4">
        <v>3</v>
      </c>
      <c r="I402" s="6">
        <f t="shared" si="12"/>
        <v>0.17156715201224024</v>
      </c>
      <c r="J402" t="str">
        <f t="shared" si="13"/>
        <v>Dec-2025</v>
      </c>
    </row>
    <row r="403" spans="1:10" x14ac:dyDescent="0.3">
      <c r="A403" s="4" t="s">
        <v>669</v>
      </c>
      <c r="B403" s="5" t="s">
        <v>283</v>
      </c>
      <c r="C403" s="4" t="s">
        <v>24</v>
      </c>
      <c r="D403" s="4" t="s">
        <v>46</v>
      </c>
      <c r="E403" s="4" t="s">
        <v>41</v>
      </c>
      <c r="F403" s="4">
        <v>4414.49</v>
      </c>
      <c r="G403" s="4">
        <v>364.83</v>
      </c>
      <c r="H403" s="4">
        <v>8</v>
      </c>
      <c r="I403" s="6">
        <f t="shared" si="12"/>
        <v>8.2643748201944048E-2</v>
      </c>
      <c r="J403" t="str">
        <f t="shared" si="13"/>
        <v>Dec-2025</v>
      </c>
    </row>
    <row r="404" spans="1:10" x14ac:dyDescent="0.3">
      <c r="A404" s="4" t="s">
        <v>670</v>
      </c>
      <c r="B404" s="5" t="s">
        <v>671</v>
      </c>
      <c r="C404" s="4" t="s">
        <v>34</v>
      </c>
      <c r="D404" s="4" t="s">
        <v>95</v>
      </c>
      <c r="E404" s="4" t="s">
        <v>17</v>
      </c>
      <c r="F404" s="4">
        <v>3785.37</v>
      </c>
      <c r="G404" s="4">
        <v>727.08</v>
      </c>
      <c r="H404" s="4">
        <v>8</v>
      </c>
      <c r="I404" s="6">
        <f t="shared" si="12"/>
        <v>0.19207633599885879</v>
      </c>
      <c r="J404" t="str">
        <f t="shared" si="13"/>
        <v>Apr-2025</v>
      </c>
    </row>
    <row r="405" spans="1:10" x14ac:dyDescent="0.3">
      <c r="A405" s="4" t="s">
        <v>672</v>
      </c>
      <c r="B405" s="5" t="s">
        <v>673</v>
      </c>
      <c r="C405" s="4" t="s">
        <v>10</v>
      </c>
      <c r="D405" s="4" t="s">
        <v>11</v>
      </c>
      <c r="E405" s="4" t="s">
        <v>12</v>
      </c>
      <c r="F405" s="4">
        <v>2235.67</v>
      </c>
      <c r="G405" s="4">
        <v>261.38</v>
      </c>
      <c r="H405" s="4">
        <v>9</v>
      </c>
      <c r="I405" s="6">
        <f t="shared" si="12"/>
        <v>0.11691349796705237</v>
      </c>
      <c r="J405" t="str">
        <f t="shared" si="13"/>
        <v>Jan-2025</v>
      </c>
    </row>
    <row r="406" spans="1:10" x14ac:dyDescent="0.3">
      <c r="A406" s="4" t="s">
        <v>674</v>
      </c>
      <c r="B406" s="5" t="s">
        <v>675</v>
      </c>
      <c r="C406" s="4" t="s">
        <v>15</v>
      </c>
      <c r="D406" s="4" t="s">
        <v>27</v>
      </c>
      <c r="E406" s="4" t="s">
        <v>12</v>
      </c>
      <c r="F406" s="4">
        <v>4990.88</v>
      </c>
      <c r="G406" s="4">
        <v>910.47</v>
      </c>
      <c r="H406" s="4">
        <v>4</v>
      </c>
      <c r="I406" s="6">
        <f t="shared" si="12"/>
        <v>0.18242674638540698</v>
      </c>
      <c r="J406" t="str">
        <f t="shared" si="13"/>
        <v>Apr-2025</v>
      </c>
    </row>
    <row r="407" spans="1:10" x14ac:dyDescent="0.3">
      <c r="A407" s="4" t="s">
        <v>676</v>
      </c>
      <c r="B407" s="5" t="s">
        <v>677</v>
      </c>
      <c r="C407" s="4" t="s">
        <v>15</v>
      </c>
      <c r="D407" s="4" t="s">
        <v>20</v>
      </c>
      <c r="E407" s="4" t="s">
        <v>12</v>
      </c>
      <c r="F407" s="4">
        <v>4550.07</v>
      </c>
      <c r="G407" s="4">
        <v>1344.88</v>
      </c>
      <c r="H407" s="4">
        <v>2</v>
      </c>
      <c r="I407" s="6">
        <f t="shared" si="12"/>
        <v>0.29557347469379597</v>
      </c>
      <c r="J407" t="str">
        <f t="shared" si="13"/>
        <v>Jun-2025</v>
      </c>
    </row>
    <row r="408" spans="1:10" x14ac:dyDescent="0.3">
      <c r="A408" s="4" t="s">
        <v>678</v>
      </c>
      <c r="B408" s="5" t="s">
        <v>679</v>
      </c>
      <c r="C408" s="4" t="s">
        <v>24</v>
      </c>
      <c r="D408" s="4" t="s">
        <v>37</v>
      </c>
      <c r="E408" s="4" t="s">
        <v>17</v>
      </c>
      <c r="F408" s="4">
        <v>2224.04</v>
      </c>
      <c r="G408" s="4">
        <v>165.86</v>
      </c>
      <c r="H408" s="4">
        <v>1</v>
      </c>
      <c r="I408" s="6">
        <f t="shared" si="12"/>
        <v>7.457599683458932E-2</v>
      </c>
      <c r="J408" t="str">
        <f t="shared" si="13"/>
        <v>Feb-2025</v>
      </c>
    </row>
    <row r="409" spans="1:10" x14ac:dyDescent="0.3">
      <c r="A409" s="4" t="s">
        <v>680</v>
      </c>
      <c r="B409" s="5" t="s">
        <v>625</v>
      </c>
      <c r="C409" s="4" t="s">
        <v>15</v>
      </c>
      <c r="D409" s="4" t="s">
        <v>27</v>
      </c>
      <c r="E409" s="4" t="s">
        <v>12</v>
      </c>
      <c r="F409" s="4">
        <v>225.65</v>
      </c>
      <c r="G409" s="4">
        <v>69.41</v>
      </c>
      <c r="H409" s="4">
        <v>2</v>
      </c>
      <c r="I409" s="6">
        <f t="shared" si="12"/>
        <v>0.30760026589851536</v>
      </c>
      <c r="J409" t="str">
        <f t="shared" si="13"/>
        <v>Mar-2025</v>
      </c>
    </row>
    <row r="410" spans="1:10" x14ac:dyDescent="0.3">
      <c r="A410" s="4" t="s">
        <v>681</v>
      </c>
      <c r="B410" s="5" t="s">
        <v>682</v>
      </c>
      <c r="C410" s="4" t="s">
        <v>24</v>
      </c>
      <c r="D410" s="4" t="s">
        <v>27</v>
      </c>
      <c r="E410" s="4" t="s">
        <v>12</v>
      </c>
      <c r="F410" s="4">
        <v>3850.68</v>
      </c>
      <c r="G410" s="4">
        <v>1323.14</v>
      </c>
      <c r="H410" s="4">
        <v>2</v>
      </c>
      <c r="I410" s="6">
        <f t="shared" si="12"/>
        <v>0.34361203735444135</v>
      </c>
      <c r="J410" t="str">
        <f t="shared" si="13"/>
        <v>Apr-2025</v>
      </c>
    </row>
    <row r="411" spans="1:10" x14ac:dyDescent="0.3">
      <c r="A411" s="4" t="s">
        <v>683</v>
      </c>
      <c r="B411" s="5" t="s">
        <v>406</v>
      </c>
      <c r="C411" s="4" t="s">
        <v>15</v>
      </c>
      <c r="D411" s="4" t="s">
        <v>20</v>
      </c>
      <c r="E411" s="4" t="s">
        <v>12</v>
      </c>
      <c r="F411" s="4">
        <v>651.73</v>
      </c>
      <c r="G411" s="4">
        <v>186.44</v>
      </c>
      <c r="H411" s="4">
        <v>7</v>
      </c>
      <c r="I411" s="6">
        <f t="shared" si="12"/>
        <v>0.28606938456109121</v>
      </c>
      <c r="J411" t="str">
        <f t="shared" si="13"/>
        <v>Jan-2025</v>
      </c>
    </row>
    <row r="412" spans="1:10" x14ac:dyDescent="0.3">
      <c r="A412" s="4" t="s">
        <v>684</v>
      </c>
      <c r="B412" s="5" t="s">
        <v>413</v>
      </c>
      <c r="C412" s="4" t="s">
        <v>10</v>
      </c>
      <c r="D412" s="4" t="s">
        <v>46</v>
      </c>
      <c r="E412" s="4" t="s">
        <v>41</v>
      </c>
      <c r="F412" s="4">
        <v>3422.26</v>
      </c>
      <c r="G412" s="4">
        <v>184.62</v>
      </c>
      <c r="H412" s="4">
        <v>7</v>
      </c>
      <c r="I412" s="6">
        <f t="shared" si="12"/>
        <v>5.3946807080701056E-2</v>
      </c>
      <c r="J412" t="str">
        <f t="shared" si="13"/>
        <v>Jul-2025</v>
      </c>
    </row>
    <row r="413" spans="1:10" x14ac:dyDescent="0.3">
      <c r="A413" s="4" t="s">
        <v>685</v>
      </c>
      <c r="B413" s="5" t="s">
        <v>316</v>
      </c>
      <c r="C413" s="4" t="s">
        <v>15</v>
      </c>
      <c r="D413" s="4" t="s">
        <v>27</v>
      </c>
      <c r="E413" s="4" t="s">
        <v>12</v>
      </c>
      <c r="F413" s="4">
        <v>1662.77</v>
      </c>
      <c r="G413" s="4">
        <v>554.1</v>
      </c>
      <c r="H413" s="4">
        <v>7</v>
      </c>
      <c r="I413" s="6">
        <f t="shared" si="12"/>
        <v>0.33323911304630227</v>
      </c>
      <c r="J413" t="str">
        <f t="shared" si="13"/>
        <v>Dec-2025</v>
      </c>
    </row>
    <row r="414" spans="1:10" x14ac:dyDescent="0.3">
      <c r="A414" s="4" t="s">
        <v>686</v>
      </c>
      <c r="B414" s="5" t="s">
        <v>186</v>
      </c>
      <c r="C414" s="4" t="s">
        <v>24</v>
      </c>
      <c r="D414" s="4" t="s">
        <v>37</v>
      </c>
      <c r="E414" s="4" t="s">
        <v>17</v>
      </c>
      <c r="F414" s="4">
        <v>4992.49</v>
      </c>
      <c r="G414" s="4">
        <v>364.62</v>
      </c>
      <c r="H414" s="4">
        <v>10</v>
      </c>
      <c r="I414" s="6">
        <f t="shared" si="12"/>
        <v>7.3033696612311697E-2</v>
      </c>
      <c r="J414" t="str">
        <f t="shared" si="13"/>
        <v>Aug-2025</v>
      </c>
    </row>
    <row r="415" spans="1:10" x14ac:dyDescent="0.3">
      <c r="A415" s="4" t="s">
        <v>687</v>
      </c>
      <c r="B415" s="5" t="s">
        <v>688</v>
      </c>
      <c r="C415" s="4" t="s">
        <v>24</v>
      </c>
      <c r="D415" s="4" t="s">
        <v>20</v>
      </c>
      <c r="E415" s="4" t="s">
        <v>12</v>
      </c>
      <c r="F415" s="4">
        <v>387.82</v>
      </c>
      <c r="G415" s="4">
        <v>125.41</v>
      </c>
      <c r="H415" s="4">
        <v>5</v>
      </c>
      <c r="I415" s="6">
        <f t="shared" si="12"/>
        <v>0.32337166726832034</v>
      </c>
      <c r="J415" t="str">
        <f t="shared" si="13"/>
        <v>Apr-2025</v>
      </c>
    </row>
    <row r="416" spans="1:10" x14ac:dyDescent="0.3">
      <c r="A416" s="4" t="s">
        <v>689</v>
      </c>
      <c r="B416" s="5" t="s">
        <v>19</v>
      </c>
      <c r="C416" s="4" t="s">
        <v>34</v>
      </c>
      <c r="D416" s="4" t="s">
        <v>16</v>
      </c>
      <c r="E416" s="4" t="s">
        <v>17</v>
      </c>
      <c r="F416" s="4">
        <v>2393.9299999999998</v>
      </c>
      <c r="G416" s="4">
        <v>734.04</v>
      </c>
      <c r="H416" s="4">
        <v>10</v>
      </c>
      <c r="I416" s="6">
        <f t="shared" si="12"/>
        <v>0.30662550701148322</v>
      </c>
      <c r="J416" t="str">
        <f t="shared" si="13"/>
        <v>May-2025</v>
      </c>
    </row>
    <row r="417" spans="1:10" x14ac:dyDescent="0.3">
      <c r="A417" s="4" t="s">
        <v>690</v>
      </c>
      <c r="B417" s="5" t="s">
        <v>575</v>
      </c>
      <c r="C417" s="4" t="s">
        <v>15</v>
      </c>
      <c r="D417" s="4" t="s">
        <v>46</v>
      </c>
      <c r="E417" s="4" t="s">
        <v>41</v>
      </c>
      <c r="F417" s="4">
        <v>2781.38</v>
      </c>
      <c r="G417" s="4">
        <v>366.24</v>
      </c>
      <c r="H417" s="4">
        <v>6</v>
      </c>
      <c r="I417" s="6">
        <f t="shared" si="12"/>
        <v>0.13167564302612372</v>
      </c>
      <c r="J417" t="str">
        <f t="shared" si="13"/>
        <v>Dec-2025</v>
      </c>
    </row>
    <row r="418" spans="1:10" x14ac:dyDescent="0.3">
      <c r="A418" s="4" t="s">
        <v>691</v>
      </c>
      <c r="B418" s="5" t="s">
        <v>182</v>
      </c>
      <c r="C418" s="4" t="s">
        <v>34</v>
      </c>
      <c r="D418" s="4" t="s">
        <v>20</v>
      </c>
      <c r="E418" s="4" t="s">
        <v>12</v>
      </c>
      <c r="F418" s="4">
        <v>3529.98</v>
      </c>
      <c r="G418" s="4">
        <v>285.97000000000003</v>
      </c>
      <c r="H418" s="4">
        <v>4</v>
      </c>
      <c r="I418" s="6">
        <f t="shared" si="12"/>
        <v>8.1011790435073297E-2</v>
      </c>
      <c r="J418" t="str">
        <f t="shared" si="13"/>
        <v>Jul-2025</v>
      </c>
    </row>
    <row r="419" spans="1:10" x14ac:dyDescent="0.3">
      <c r="A419" s="4" t="s">
        <v>692</v>
      </c>
      <c r="B419" s="5" t="s">
        <v>375</v>
      </c>
      <c r="C419" s="4" t="s">
        <v>24</v>
      </c>
      <c r="D419" s="4" t="s">
        <v>20</v>
      </c>
      <c r="E419" s="4" t="s">
        <v>12</v>
      </c>
      <c r="F419" s="4">
        <v>1108.73</v>
      </c>
      <c r="G419" s="4">
        <v>124.12</v>
      </c>
      <c r="H419" s="4">
        <v>2</v>
      </c>
      <c r="I419" s="6">
        <f t="shared" si="12"/>
        <v>0.11194790435904142</v>
      </c>
      <c r="J419" t="str">
        <f t="shared" si="13"/>
        <v>Sep-2025</v>
      </c>
    </row>
    <row r="420" spans="1:10" x14ac:dyDescent="0.3">
      <c r="A420" s="4" t="s">
        <v>693</v>
      </c>
      <c r="B420" s="5" t="s">
        <v>469</v>
      </c>
      <c r="C420" s="4" t="s">
        <v>15</v>
      </c>
      <c r="D420" s="4" t="s">
        <v>16</v>
      </c>
      <c r="E420" s="4" t="s">
        <v>17</v>
      </c>
      <c r="F420" s="4">
        <v>2925.86</v>
      </c>
      <c r="G420" s="4">
        <v>768.62</v>
      </c>
      <c r="H420" s="4">
        <v>3</v>
      </c>
      <c r="I420" s="6">
        <f t="shared" si="12"/>
        <v>0.26269883042934383</v>
      </c>
      <c r="J420" t="str">
        <f t="shared" si="13"/>
        <v>Feb-2025</v>
      </c>
    </row>
    <row r="421" spans="1:10" x14ac:dyDescent="0.3">
      <c r="A421" s="4" t="s">
        <v>694</v>
      </c>
      <c r="B421" s="5" t="s">
        <v>662</v>
      </c>
      <c r="C421" s="4" t="s">
        <v>15</v>
      </c>
      <c r="D421" s="4" t="s">
        <v>37</v>
      </c>
      <c r="E421" s="4" t="s">
        <v>17</v>
      </c>
      <c r="F421" s="4">
        <v>2284.71</v>
      </c>
      <c r="G421" s="4">
        <v>278.58999999999997</v>
      </c>
      <c r="H421" s="4">
        <v>8</v>
      </c>
      <c r="I421" s="6">
        <f t="shared" si="12"/>
        <v>0.12193670093797461</v>
      </c>
      <c r="J421" t="str">
        <f t="shared" si="13"/>
        <v>Jan-2025</v>
      </c>
    </row>
    <row r="422" spans="1:10" x14ac:dyDescent="0.3">
      <c r="A422" s="4" t="s">
        <v>695</v>
      </c>
      <c r="B422" s="5" t="s">
        <v>696</v>
      </c>
      <c r="C422" s="4" t="s">
        <v>15</v>
      </c>
      <c r="D422" s="4" t="s">
        <v>46</v>
      </c>
      <c r="E422" s="4" t="s">
        <v>41</v>
      </c>
      <c r="F422" s="4">
        <v>2524.54</v>
      </c>
      <c r="G422" s="4">
        <v>816.78</v>
      </c>
      <c r="H422" s="4">
        <v>9</v>
      </c>
      <c r="I422" s="6">
        <f t="shared" si="12"/>
        <v>0.3235361689654353</v>
      </c>
      <c r="J422" t="str">
        <f t="shared" si="13"/>
        <v>Jun-2025</v>
      </c>
    </row>
    <row r="423" spans="1:10" x14ac:dyDescent="0.3">
      <c r="A423" s="4" t="s">
        <v>697</v>
      </c>
      <c r="B423" s="5" t="s">
        <v>698</v>
      </c>
      <c r="C423" s="4" t="s">
        <v>34</v>
      </c>
      <c r="D423" s="4" t="s">
        <v>20</v>
      </c>
      <c r="E423" s="4" t="s">
        <v>12</v>
      </c>
      <c r="F423" s="4">
        <v>3239.06</v>
      </c>
      <c r="G423" s="4">
        <v>1035.26</v>
      </c>
      <c r="H423" s="4">
        <v>4</v>
      </c>
      <c r="I423" s="6">
        <f t="shared" si="12"/>
        <v>0.31961741986872733</v>
      </c>
      <c r="J423" t="str">
        <f t="shared" si="13"/>
        <v>Jan-2025</v>
      </c>
    </row>
    <row r="424" spans="1:10" x14ac:dyDescent="0.3">
      <c r="A424" s="4" t="s">
        <v>699</v>
      </c>
      <c r="B424" s="5" t="s">
        <v>19</v>
      </c>
      <c r="C424" s="4" t="s">
        <v>10</v>
      </c>
      <c r="D424" s="4" t="s">
        <v>27</v>
      </c>
      <c r="E424" s="4" t="s">
        <v>12</v>
      </c>
      <c r="F424" s="4">
        <v>4740.2700000000004</v>
      </c>
      <c r="G424" s="4">
        <v>479.84</v>
      </c>
      <c r="H424" s="4">
        <v>4</v>
      </c>
      <c r="I424" s="6">
        <f t="shared" si="12"/>
        <v>0.10122630145540232</v>
      </c>
      <c r="J424" t="str">
        <f t="shared" si="13"/>
        <v>May-2025</v>
      </c>
    </row>
    <row r="425" spans="1:10" x14ac:dyDescent="0.3">
      <c r="A425" s="4" t="s">
        <v>700</v>
      </c>
      <c r="B425" s="5" t="s">
        <v>701</v>
      </c>
      <c r="C425" s="4" t="s">
        <v>10</v>
      </c>
      <c r="D425" s="4" t="s">
        <v>16</v>
      </c>
      <c r="E425" s="4" t="s">
        <v>17</v>
      </c>
      <c r="F425" s="4">
        <v>2993.82</v>
      </c>
      <c r="G425" s="4">
        <v>420.11</v>
      </c>
      <c r="H425" s="4">
        <v>4</v>
      </c>
      <c r="I425" s="6">
        <f t="shared" si="12"/>
        <v>0.14032573768630044</v>
      </c>
      <c r="J425" t="str">
        <f t="shared" si="13"/>
        <v>Jul-2025</v>
      </c>
    </row>
    <row r="426" spans="1:10" x14ac:dyDescent="0.3">
      <c r="A426" s="4" t="s">
        <v>702</v>
      </c>
      <c r="B426" s="5" t="s">
        <v>64</v>
      </c>
      <c r="C426" s="4" t="s">
        <v>15</v>
      </c>
      <c r="D426" s="4" t="s">
        <v>20</v>
      </c>
      <c r="E426" s="4" t="s">
        <v>12</v>
      </c>
      <c r="F426" s="4">
        <v>1754.75</v>
      </c>
      <c r="G426" s="4">
        <v>263.04000000000002</v>
      </c>
      <c r="H426" s="4">
        <v>8</v>
      </c>
      <c r="I426" s="6">
        <f t="shared" si="12"/>
        <v>0.14990169539820489</v>
      </c>
      <c r="J426" t="str">
        <f t="shared" si="13"/>
        <v>Jul-2025</v>
      </c>
    </row>
    <row r="427" spans="1:10" x14ac:dyDescent="0.3">
      <c r="A427" s="4" t="s">
        <v>703</v>
      </c>
      <c r="B427" s="5" t="s">
        <v>501</v>
      </c>
      <c r="C427" s="4" t="s">
        <v>34</v>
      </c>
      <c r="D427" s="4" t="s">
        <v>11</v>
      </c>
      <c r="E427" s="4" t="s">
        <v>12</v>
      </c>
      <c r="F427" s="4">
        <v>3498</v>
      </c>
      <c r="G427" s="4">
        <v>737.59</v>
      </c>
      <c r="H427" s="4">
        <v>1</v>
      </c>
      <c r="I427" s="6">
        <f t="shared" si="12"/>
        <v>0.21086049170954832</v>
      </c>
      <c r="J427" t="str">
        <f t="shared" si="13"/>
        <v>Aug-2025</v>
      </c>
    </row>
    <row r="428" spans="1:10" x14ac:dyDescent="0.3">
      <c r="A428" s="4" t="s">
        <v>704</v>
      </c>
      <c r="B428" s="5" t="s">
        <v>705</v>
      </c>
      <c r="C428" s="4" t="s">
        <v>15</v>
      </c>
      <c r="D428" s="4" t="s">
        <v>27</v>
      </c>
      <c r="E428" s="4" t="s">
        <v>12</v>
      </c>
      <c r="F428" s="4">
        <v>1906.33</v>
      </c>
      <c r="G428" s="4">
        <v>546.48</v>
      </c>
      <c r="H428" s="4">
        <v>9</v>
      </c>
      <c r="I428" s="6">
        <f t="shared" si="12"/>
        <v>0.28666600221367761</v>
      </c>
      <c r="J428" t="str">
        <f t="shared" si="13"/>
        <v>Jun-2025</v>
      </c>
    </row>
    <row r="429" spans="1:10" x14ac:dyDescent="0.3">
      <c r="A429" s="4" t="s">
        <v>706</v>
      </c>
      <c r="B429" s="5" t="s">
        <v>707</v>
      </c>
      <c r="C429" s="4" t="s">
        <v>15</v>
      </c>
      <c r="D429" s="4" t="s">
        <v>11</v>
      </c>
      <c r="E429" s="4" t="s">
        <v>12</v>
      </c>
      <c r="F429" s="4">
        <v>1920.46</v>
      </c>
      <c r="G429" s="4">
        <v>564.21</v>
      </c>
      <c r="H429" s="4">
        <v>5</v>
      </c>
      <c r="I429" s="6">
        <f t="shared" si="12"/>
        <v>0.29378898805494519</v>
      </c>
      <c r="J429" t="str">
        <f t="shared" si="13"/>
        <v>Nov-2025</v>
      </c>
    </row>
    <row r="430" spans="1:10" x14ac:dyDescent="0.3">
      <c r="A430" s="4" t="s">
        <v>708</v>
      </c>
      <c r="B430" s="5" t="s">
        <v>262</v>
      </c>
      <c r="C430" s="4" t="s">
        <v>34</v>
      </c>
      <c r="D430" s="4" t="s">
        <v>16</v>
      </c>
      <c r="E430" s="4" t="s">
        <v>17</v>
      </c>
      <c r="F430" s="4">
        <v>2795.68</v>
      </c>
      <c r="G430" s="4">
        <v>201.03</v>
      </c>
      <c r="H430" s="4">
        <v>1</v>
      </c>
      <c r="I430" s="6">
        <f t="shared" si="12"/>
        <v>7.1907371372975454E-2</v>
      </c>
      <c r="J430" t="str">
        <f t="shared" si="13"/>
        <v>Jul-2025</v>
      </c>
    </row>
    <row r="431" spans="1:10" x14ac:dyDescent="0.3">
      <c r="A431" s="4" t="s">
        <v>709</v>
      </c>
      <c r="B431" s="5" t="s">
        <v>397</v>
      </c>
      <c r="C431" s="4" t="s">
        <v>34</v>
      </c>
      <c r="D431" s="4" t="s">
        <v>37</v>
      </c>
      <c r="E431" s="4" t="s">
        <v>17</v>
      </c>
      <c r="F431" s="4">
        <v>758.44</v>
      </c>
      <c r="G431" s="4">
        <v>191.6</v>
      </c>
      <c r="H431" s="4">
        <v>3</v>
      </c>
      <c r="I431" s="6">
        <f t="shared" si="12"/>
        <v>0.25262380676124674</v>
      </c>
      <c r="J431" t="str">
        <f t="shared" si="13"/>
        <v>Mar-2025</v>
      </c>
    </row>
    <row r="432" spans="1:10" x14ac:dyDescent="0.3">
      <c r="A432" s="4" t="s">
        <v>710</v>
      </c>
      <c r="B432" s="5" t="s">
        <v>29</v>
      </c>
      <c r="C432" s="4" t="s">
        <v>15</v>
      </c>
      <c r="D432" s="4" t="s">
        <v>16</v>
      </c>
      <c r="E432" s="4" t="s">
        <v>17</v>
      </c>
      <c r="F432" s="4">
        <v>2748.5</v>
      </c>
      <c r="G432" s="4">
        <v>447.74</v>
      </c>
      <c r="H432" s="4">
        <v>1</v>
      </c>
      <c r="I432" s="6">
        <f t="shared" si="12"/>
        <v>0.16290340185555757</v>
      </c>
      <c r="J432" t="str">
        <f t="shared" si="13"/>
        <v>Jun-2025</v>
      </c>
    </row>
    <row r="433" spans="1:10" x14ac:dyDescent="0.3">
      <c r="A433" s="4" t="s">
        <v>711</v>
      </c>
      <c r="B433" s="5" t="s">
        <v>712</v>
      </c>
      <c r="C433" s="4" t="s">
        <v>15</v>
      </c>
      <c r="D433" s="4" t="s">
        <v>40</v>
      </c>
      <c r="E433" s="4" t="s">
        <v>41</v>
      </c>
      <c r="F433" s="4">
        <v>3483.75</v>
      </c>
      <c r="G433" s="4">
        <v>195.52</v>
      </c>
      <c r="H433" s="4">
        <v>5</v>
      </c>
      <c r="I433" s="6">
        <f t="shared" si="12"/>
        <v>5.6123430211697169E-2</v>
      </c>
      <c r="J433" t="str">
        <f t="shared" si="13"/>
        <v>Dec-2025</v>
      </c>
    </row>
    <row r="434" spans="1:10" x14ac:dyDescent="0.3">
      <c r="A434" s="4" t="s">
        <v>713</v>
      </c>
      <c r="B434" s="5" t="s">
        <v>714</v>
      </c>
      <c r="C434" s="4" t="s">
        <v>24</v>
      </c>
      <c r="D434" s="4" t="s">
        <v>11</v>
      </c>
      <c r="E434" s="4" t="s">
        <v>12</v>
      </c>
      <c r="F434" s="4">
        <v>1927.1</v>
      </c>
      <c r="G434" s="4">
        <v>506.23</v>
      </c>
      <c r="H434" s="4">
        <v>1</v>
      </c>
      <c r="I434" s="6">
        <f t="shared" si="12"/>
        <v>0.26269005241035753</v>
      </c>
      <c r="J434" t="str">
        <f t="shared" si="13"/>
        <v>Aug-2025</v>
      </c>
    </row>
    <row r="435" spans="1:10" x14ac:dyDescent="0.3">
      <c r="A435" s="4" t="s">
        <v>715</v>
      </c>
      <c r="B435" s="5" t="s">
        <v>129</v>
      </c>
      <c r="C435" s="4" t="s">
        <v>15</v>
      </c>
      <c r="D435" s="4" t="s">
        <v>37</v>
      </c>
      <c r="E435" s="4" t="s">
        <v>17</v>
      </c>
      <c r="F435" s="4">
        <v>2469.7600000000002</v>
      </c>
      <c r="G435" s="4">
        <v>410.43</v>
      </c>
      <c r="H435" s="4">
        <v>3</v>
      </c>
      <c r="I435" s="6">
        <f t="shared" si="12"/>
        <v>0.16618213915522154</v>
      </c>
      <c r="J435" t="str">
        <f t="shared" si="13"/>
        <v>Sep-2025</v>
      </c>
    </row>
    <row r="436" spans="1:10" x14ac:dyDescent="0.3">
      <c r="A436" s="4" t="s">
        <v>716</v>
      </c>
      <c r="B436" s="5" t="s">
        <v>717</v>
      </c>
      <c r="C436" s="4" t="s">
        <v>24</v>
      </c>
      <c r="D436" s="4" t="s">
        <v>46</v>
      </c>
      <c r="E436" s="4" t="s">
        <v>41</v>
      </c>
      <c r="F436" s="4">
        <v>815.25</v>
      </c>
      <c r="G436" s="4">
        <v>280.01</v>
      </c>
      <c r="H436" s="4">
        <v>5</v>
      </c>
      <c r="I436" s="6">
        <f t="shared" si="12"/>
        <v>0.34346519472554432</v>
      </c>
      <c r="J436" t="str">
        <f t="shared" si="13"/>
        <v>Dec-2025</v>
      </c>
    </row>
    <row r="437" spans="1:10" x14ac:dyDescent="0.3">
      <c r="A437" s="4" t="s">
        <v>718</v>
      </c>
      <c r="B437" s="5" t="s">
        <v>448</v>
      </c>
      <c r="C437" s="4" t="s">
        <v>10</v>
      </c>
      <c r="D437" s="4" t="s">
        <v>46</v>
      </c>
      <c r="E437" s="4" t="s">
        <v>41</v>
      </c>
      <c r="F437" s="4">
        <v>829.64</v>
      </c>
      <c r="G437" s="4">
        <v>63.46</v>
      </c>
      <c r="H437" s="4">
        <v>6</v>
      </c>
      <c r="I437" s="6">
        <f t="shared" si="12"/>
        <v>7.6491008148112438E-2</v>
      </c>
      <c r="J437" t="str">
        <f t="shared" si="13"/>
        <v>Dec-2025</v>
      </c>
    </row>
    <row r="438" spans="1:10" x14ac:dyDescent="0.3">
      <c r="A438" s="4" t="s">
        <v>719</v>
      </c>
      <c r="B438" s="5" t="s">
        <v>66</v>
      </c>
      <c r="C438" s="4" t="s">
        <v>10</v>
      </c>
      <c r="D438" s="4" t="s">
        <v>20</v>
      </c>
      <c r="E438" s="4" t="s">
        <v>12</v>
      </c>
      <c r="F438" s="4">
        <v>2361</v>
      </c>
      <c r="G438" s="4">
        <v>634.96</v>
      </c>
      <c r="H438" s="4">
        <v>2</v>
      </c>
      <c r="I438" s="6">
        <f t="shared" si="12"/>
        <v>0.26893689114781871</v>
      </c>
      <c r="J438" t="str">
        <f t="shared" si="13"/>
        <v>Aug-2025</v>
      </c>
    </row>
    <row r="439" spans="1:10" x14ac:dyDescent="0.3">
      <c r="A439" s="4" t="s">
        <v>720</v>
      </c>
      <c r="B439" s="5" t="s">
        <v>419</v>
      </c>
      <c r="C439" s="4" t="s">
        <v>24</v>
      </c>
      <c r="D439" s="4" t="s">
        <v>40</v>
      </c>
      <c r="E439" s="4" t="s">
        <v>41</v>
      </c>
      <c r="F439" s="4">
        <v>3696.16</v>
      </c>
      <c r="G439" s="4">
        <v>849.98</v>
      </c>
      <c r="H439" s="4">
        <v>1</v>
      </c>
      <c r="I439" s="6">
        <f t="shared" si="12"/>
        <v>0.22996298861521147</v>
      </c>
      <c r="J439" t="str">
        <f t="shared" si="13"/>
        <v>Jul-2025</v>
      </c>
    </row>
    <row r="440" spans="1:10" x14ac:dyDescent="0.3">
      <c r="A440" s="4" t="s">
        <v>721</v>
      </c>
      <c r="B440" s="5" t="s">
        <v>177</v>
      </c>
      <c r="C440" s="4" t="s">
        <v>24</v>
      </c>
      <c r="D440" s="4" t="s">
        <v>20</v>
      </c>
      <c r="E440" s="4" t="s">
        <v>12</v>
      </c>
      <c r="F440" s="4">
        <v>1093.44</v>
      </c>
      <c r="G440" s="4">
        <v>358.19</v>
      </c>
      <c r="H440" s="4">
        <v>4</v>
      </c>
      <c r="I440" s="6">
        <f t="shared" si="12"/>
        <v>0.32758084577114427</v>
      </c>
      <c r="J440" t="str">
        <f t="shared" si="13"/>
        <v>Jun-2025</v>
      </c>
    </row>
    <row r="441" spans="1:10" x14ac:dyDescent="0.3">
      <c r="A441" s="4" t="s">
        <v>722</v>
      </c>
      <c r="B441" s="5" t="s">
        <v>180</v>
      </c>
      <c r="C441" s="4" t="s">
        <v>10</v>
      </c>
      <c r="D441" s="4" t="s">
        <v>95</v>
      </c>
      <c r="E441" s="4" t="s">
        <v>17</v>
      </c>
      <c r="F441" s="4">
        <v>1332.46</v>
      </c>
      <c r="G441" s="4">
        <v>98.26</v>
      </c>
      <c r="H441" s="4">
        <v>6</v>
      </c>
      <c r="I441" s="6">
        <f t="shared" si="12"/>
        <v>7.3743301862720087E-2</v>
      </c>
      <c r="J441" t="str">
        <f t="shared" si="13"/>
        <v>Feb-2025</v>
      </c>
    </row>
    <row r="442" spans="1:10" x14ac:dyDescent="0.3">
      <c r="A442" s="4" t="s">
        <v>723</v>
      </c>
      <c r="B442" s="5" t="s">
        <v>724</v>
      </c>
      <c r="C442" s="4" t="s">
        <v>24</v>
      </c>
      <c r="D442" s="4" t="s">
        <v>11</v>
      </c>
      <c r="E442" s="4" t="s">
        <v>12</v>
      </c>
      <c r="F442" s="4">
        <v>615.73</v>
      </c>
      <c r="G442" s="4">
        <v>141.36000000000001</v>
      </c>
      <c r="H442" s="4">
        <v>9</v>
      </c>
      <c r="I442" s="6">
        <f t="shared" si="12"/>
        <v>0.22958114758092021</v>
      </c>
      <c r="J442" t="str">
        <f t="shared" si="13"/>
        <v>Jul-2025</v>
      </c>
    </row>
    <row r="443" spans="1:10" x14ac:dyDescent="0.3">
      <c r="A443" s="4" t="s">
        <v>725</v>
      </c>
      <c r="B443" s="5" t="s">
        <v>177</v>
      </c>
      <c r="C443" s="4" t="s">
        <v>15</v>
      </c>
      <c r="D443" s="4" t="s">
        <v>40</v>
      </c>
      <c r="E443" s="4" t="s">
        <v>41</v>
      </c>
      <c r="F443" s="4">
        <v>1913.95</v>
      </c>
      <c r="G443" s="4">
        <v>199.42</v>
      </c>
      <c r="H443" s="4">
        <v>4</v>
      </c>
      <c r="I443" s="6">
        <f t="shared" si="12"/>
        <v>0.10419289950103189</v>
      </c>
      <c r="J443" t="str">
        <f t="shared" si="13"/>
        <v>Jun-2025</v>
      </c>
    </row>
    <row r="444" spans="1:10" x14ac:dyDescent="0.3">
      <c r="A444" s="4" t="s">
        <v>726</v>
      </c>
      <c r="B444" s="5" t="s">
        <v>186</v>
      </c>
      <c r="C444" s="4" t="s">
        <v>15</v>
      </c>
      <c r="D444" s="4" t="s">
        <v>95</v>
      </c>
      <c r="E444" s="4" t="s">
        <v>17</v>
      </c>
      <c r="F444" s="4">
        <v>2312.21</v>
      </c>
      <c r="G444" s="4">
        <v>208.95</v>
      </c>
      <c r="H444" s="4">
        <v>10</v>
      </c>
      <c r="I444" s="6">
        <f t="shared" si="12"/>
        <v>9.0368089403644131E-2</v>
      </c>
      <c r="J444" t="str">
        <f t="shared" si="13"/>
        <v>Aug-2025</v>
      </c>
    </row>
    <row r="445" spans="1:10" x14ac:dyDescent="0.3">
      <c r="A445" s="4" t="s">
        <v>727</v>
      </c>
      <c r="B445" s="5" t="s">
        <v>335</v>
      </c>
      <c r="C445" s="4" t="s">
        <v>34</v>
      </c>
      <c r="D445" s="4" t="s">
        <v>37</v>
      </c>
      <c r="E445" s="4" t="s">
        <v>17</v>
      </c>
      <c r="F445" s="4">
        <v>4613.5600000000004</v>
      </c>
      <c r="G445" s="4">
        <v>1505.08</v>
      </c>
      <c r="H445" s="4">
        <v>2</v>
      </c>
      <c r="I445" s="6">
        <f t="shared" si="12"/>
        <v>0.32622963611614453</v>
      </c>
      <c r="J445" t="str">
        <f t="shared" si="13"/>
        <v>Jan-2025</v>
      </c>
    </row>
    <row r="446" spans="1:10" x14ac:dyDescent="0.3">
      <c r="A446" s="4" t="s">
        <v>728</v>
      </c>
      <c r="B446" s="5" t="s">
        <v>729</v>
      </c>
      <c r="C446" s="4" t="s">
        <v>15</v>
      </c>
      <c r="D446" s="4" t="s">
        <v>46</v>
      </c>
      <c r="E446" s="4" t="s">
        <v>41</v>
      </c>
      <c r="F446" s="4">
        <v>1972.67</v>
      </c>
      <c r="G446" s="4">
        <v>330.66</v>
      </c>
      <c r="H446" s="4">
        <v>10</v>
      </c>
      <c r="I446" s="6">
        <f t="shared" si="12"/>
        <v>0.16762053460538257</v>
      </c>
      <c r="J446" t="str">
        <f t="shared" si="13"/>
        <v>Oct-2025</v>
      </c>
    </row>
    <row r="447" spans="1:10" x14ac:dyDescent="0.3">
      <c r="A447" s="4" t="s">
        <v>730</v>
      </c>
      <c r="B447" s="5" t="s">
        <v>392</v>
      </c>
      <c r="C447" s="4" t="s">
        <v>34</v>
      </c>
      <c r="D447" s="4" t="s">
        <v>46</v>
      </c>
      <c r="E447" s="4" t="s">
        <v>41</v>
      </c>
      <c r="F447" s="4">
        <v>3976.78</v>
      </c>
      <c r="G447" s="4">
        <v>1261.1300000000001</v>
      </c>
      <c r="H447" s="4">
        <v>8</v>
      </c>
      <c r="I447" s="6">
        <f t="shared" si="12"/>
        <v>0.3171234013448066</v>
      </c>
      <c r="J447" t="str">
        <f t="shared" si="13"/>
        <v>Dec-2025</v>
      </c>
    </row>
    <row r="448" spans="1:10" x14ac:dyDescent="0.3">
      <c r="A448" s="4" t="s">
        <v>731</v>
      </c>
      <c r="B448" s="5" t="s">
        <v>239</v>
      </c>
      <c r="C448" s="4" t="s">
        <v>15</v>
      </c>
      <c r="D448" s="4" t="s">
        <v>16</v>
      </c>
      <c r="E448" s="4" t="s">
        <v>17</v>
      </c>
      <c r="F448" s="4">
        <v>4821.12</v>
      </c>
      <c r="G448" s="4">
        <v>1631.56</v>
      </c>
      <c r="H448" s="4">
        <v>10</v>
      </c>
      <c r="I448" s="6">
        <f t="shared" si="12"/>
        <v>0.33841928846409131</v>
      </c>
      <c r="J448" t="str">
        <f t="shared" si="13"/>
        <v>Aug-2025</v>
      </c>
    </row>
    <row r="449" spans="1:10" x14ac:dyDescent="0.3">
      <c r="A449" s="4" t="s">
        <v>732</v>
      </c>
      <c r="B449" s="5" t="s">
        <v>733</v>
      </c>
      <c r="C449" s="4" t="s">
        <v>24</v>
      </c>
      <c r="D449" s="4" t="s">
        <v>16</v>
      </c>
      <c r="E449" s="4" t="s">
        <v>17</v>
      </c>
      <c r="F449" s="4">
        <v>1422.7</v>
      </c>
      <c r="G449" s="4">
        <v>194.92</v>
      </c>
      <c r="H449" s="4">
        <v>1</v>
      </c>
      <c r="I449" s="6">
        <f t="shared" si="12"/>
        <v>0.13700709917762</v>
      </c>
      <c r="J449" t="str">
        <f t="shared" si="13"/>
        <v>Apr-2025</v>
      </c>
    </row>
    <row r="450" spans="1:10" x14ac:dyDescent="0.3">
      <c r="A450" s="4" t="s">
        <v>734</v>
      </c>
      <c r="B450" s="5" t="s">
        <v>316</v>
      </c>
      <c r="C450" s="4" t="s">
        <v>34</v>
      </c>
      <c r="D450" s="4" t="s">
        <v>11</v>
      </c>
      <c r="E450" s="4" t="s">
        <v>12</v>
      </c>
      <c r="F450" s="4">
        <v>1111.3499999999999</v>
      </c>
      <c r="G450" s="4">
        <v>67.86</v>
      </c>
      <c r="H450" s="4">
        <v>6</v>
      </c>
      <c r="I450" s="6">
        <f t="shared" si="12"/>
        <v>6.1060871912538811E-2</v>
      </c>
      <c r="J450" t="str">
        <f t="shared" si="13"/>
        <v>Dec-2025</v>
      </c>
    </row>
    <row r="451" spans="1:10" x14ac:dyDescent="0.3">
      <c r="A451" s="4" t="s">
        <v>735</v>
      </c>
      <c r="B451" s="5" t="s">
        <v>575</v>
      </c>
      <c r="C451" s="4" t="s">
        <v>34</v>
      </c>
      <c r="D451" s="4" t="s">
        <v>11</v>
      </c>
      <c r="E451" s="4" t="s">
        <v>12</v>
      </c>
      <c r="F451" s="4">
        <v>4987.95</v>
      </c>
      <c r="G451" s="4">
        <v>443.56</v>
      </c>
      <c r="H451" s="4">
        <v>4</v>
      </c>
      <c r="I451" s="6">
        <f t="shared" ref="I451:I501" si="14">G451/F451</f>
        <v>8.8926312412915126E-2</v>
      </c>
      <c r="J451" t="str">
        <f t="shared" ref="J451:J501" si="15">TEXT(B451,"mmm-yyyy")</f>
        <v>Dec-2025</v>
      </c>
    </row>
    <row r="452" spans="1:10" x14ac:dyDescent="0.3">
      <c r="A452" s="4" t="s">
        <v>736</v>
      </c>
      <c r="B452" s="5" t="s">
        <v>737</v>
      </c>
      <c r="C452" s="4" t="s">
        <v>24</v>
      </c>
      <c r="D452" s="4" t="s">
        <v>95</v>
      </c>
      <c r="E452" s="4" t="s">
        <v>17</v>
      </c>
      <c r="F452" s="4">
        <v>3852.21</v>
      </c>
      <c r="G452" s="4">
        <v>1011.62</v>
      </c>
      <c r="H452" s="4">
        <v>9</v>
      </c>
      <c r="I452" s="6">
        <f t="shared" si="14"/>
        <v>0.26260769791885696</v>
      </c>
      <c r="J452" t="str">
        <f t="shared" si="15"/>
        <v>Sep-2025</v>
      </c>
    </row>
    <row r="453" spans="1:10" x14ac:dyDescent="0.3">
      <c r="A453" s="4" t="s">
        <v>738</v>
      </c>
      <c r="B453" s="5" t="s">
        <v>476</v>
      </c>
      <c r="C453" s="4" t="s">
        <v>15</v>
      </c>
      <c r="D453" s="4" t="s">
        <v>27</v>
      </c>
      <c r="E453" s="4" t="s">
        <v>12</v>
      </c>
      <c r="F453" s="4">
        <v>951.8</v>
      </c>
      <c r="G453" s="4">
        <v>221.68</v>
      </c>
      <c r="H453" s="4">
        <v>1</v>
      </c>
      <c r="I453" s="6">
        <f t="shared" si="14"/>
        <v>0.23290607270434968</v>
      </c>
      <c r="J453" t="str">
        <f t="shared" si="15"/>
        <v>Dec-2025</v>
      </c>
    </row>
    <row r="454" spans="1:10" x14ac:dyDescent="0.3">
      <c r="A454" s="4" t="s">
        <v>739</v>
      </c>
      <c r="B454" s="5" t="s">
        <v>740</v>
      </c>
      <c r="C454" s="4" t="s">
        <v>10</v>
      </c>
      <c r="D454" s="4" t="s">
        <v>11</v>
      </c>
      <c r="E454" s="4" t="s">
        <v>12</v>
      </c>
      <c r="F454" s="4">
        <v>4058.33</v>
      </c>
      <c r="G454" s="4">
        <v>761.32</v>
      </c>
      <c r="H454" s="4">
        <v>4</v>
      </c>
      <c r="I454" s="6">
        <f t="shared" si="14"/>
        <v>0.18759440459499352</v>
      </c>
      <c r="J454" t="str">
        <f t="shared" si="15"/>
        <v>Jun-2025</v>
      </c>
    </row>
    <row r="455" spans="1:10" x14ac:dyDescent="0.3">
      <c r="A455" s="4" t="s">
        <v>741</v>
      </c>
      <c r="B455" s="5" t="s">
        <v>361</v>
      </c>
      <c r="C455" s="4" t="s">
        <v>15</v>
      </c>
      <c r="D455" s="4" t="s">
        <v>40</v>
      </c>
      <c r="E455" s="4" t="s">
        <v>41</v>
      </c>
      <c r="F455" s="4">
        <v>4398.2299999999996</v>
      </c>
      <c r="G455" s="4">
        <v>1459.49</v>
      </c>
      <c r="H455" s="4">
        <v>6</v>
      </c>
      <c r="I455" s="6">
        <f t="shared" si="14"/>
        <v>0.33183576120393887</v>
      </c>
      <c r="J455" t="str">
        <f t="shared" si="15"/>
        <v>Dec-2025</v>
      </c>
    </row>
    <row r="456" spans="1:10" x14ac:dyDescent="0.3">
      <c r="A456" s="4" t="s">
        <v>742</v>
      </c>
      <c r="B456" s="5" t="s">
        <v>743</v>
      </c>
      <c r="C456" s="4" t="s">
        <v>15</v>
      </c>
      <c r="D456" s="4" t="s">
        <v>37</v>
      </c>
      <c r="E456" s="4" t="s">
        <v>17</v>
      </c>
      <c r="F456" s="4">
        <v>2220</v>
      </c>
      <c r="G456" s="4">
        <v>580.01</v>
      </c>
      <c r="H456" s="4">
        <v>8</v>
      </c>
      <c r="I456" s="6">
        <f t="shared" si="14"/>
        <v>0.26126576576576577</v>
      </c>
      <c r="J456" t="str">
        <f t="shared" si="15"/>
        <v>Nov-2025</v>
      </c>
    </row>
    <row r="457" spans="1:10" x14ac:dyDescent="0.3">
      <c r="A457" s="4" t="s">
        <v>744</v>
      </c>
      <c r="B457" s="5" t="s">
        <v>616</v>
      </c>
      <c r="C457" s="4" t="s">
        <v>34</v>
      </c>
      <c r="D457" s="4" t="s">
        <v>37</v>
      </c>
      <c r="E457" s="4" t="s">
        <v>17</v>
      </c>
      <c r="F457" s="4">
        <v>4514.13</v>
      </c>
      <c r="G457" s="4">
        <v>472.2</v>
      </c>
      <c r="H457" s="4">
        <v>1</v>
      </c>
      <c r="I457" s="6">
        <f t="shared" si="14"/>
        <v>0.10460487402888263</v>
      </c>
      <c r="J457" t="str">
        <f t="shared" si="15"/>
        <v>Apr-2025</v>
      </c>
    </row>
    <row r="458" spans="1:10" x14ac:dyDescent="0.3">
      <c r="A458" s="4" t="s">
        <v>745</v>
      </c>
      <c r="B458" s="5" t="s">
        <v>542</v>
      </c>
      <c r="C458" s="4" t="s">
        <v>15</v>
      </c>
      <c r="D458" s="4" t="s">
        <v>16</v>
      </c>
      <c r="E458" s="4" t="s">
        <v>17</v>
      </c>
      <c r="F458" s="4">
        <v>4257.37</v>
      </c>
      <c r="G458" s="4">
        <v>621.79999999999995</v>
      </c>
      <c r="H458" s="4">
        <v>5</v>
      </c>
      <c r="I458" s="6">
        <f t="shared" si="14"/>
        <v>0.14605260994463717</v>
      </c>
      <c r="J458" t="str">
        <f t="shared" si="15"/>
        <v>Aug-2025</v>
      </c>
    </row>
    <row r="459" spans="1:10" x14ac:dyDescent="0.3">
      <c r="A459" s="4" t="s">
        <v>746</v>
      </c>
      <c r="B459" s="5" t="s">
        <v>191</v>
      </c>
      <c r="C459" s="4" t="s">
        <v>15</v>
      </c>
      <c r="D459" s="4" t="s">
        <v>16</v>
      </c>
      <c r="E459" s="4" t="s">
        <v>17</v>
      </c>
      <c r="F459" s="4">
        <v>3082.93</v>
      </c>
      <c r="G459" s="4">
        <v>816.19</v>
      </c>
      <c r="H459" s="4">
        <v>3</v>
      </c>
      <c r="I459" s="6">
        <f t="shared" si="14"/>
        <v>0.26474490176552828</v>
      </c>
      <c r="J459" t="str">
        <f t="shared" si="15"/>
        <v>Jul-2025</v>
      </c>
    </row>
    <row r="460" spans="1:10" x14ac:dyDescent="0.3">
      <c r="A460" s="4" t="s">
        <v>747</v>
      </c>
      <c r="B460" s="5" t="s">
        <v>748</v>
      </c>
      <c r="C460" s="4" t="s">
        <v>10</v>
      </c>
      <c r="D460" s="4" t="s">
        <v>46</v>
      </c>
      <c r="E460" s="4" t="s">
        <v>41</v>
      </c>
      <c r="F460" s="4">
        <v>1944.84</v>
      </c>
      <c r="G460" s="4">
        <v>663.56</v>
      </c>
      <c r="H460" s="4">
        <v>2</v>
      </c>
      <c r="I460" s="6">
        <f t="shared" si="14"/>
        <v>0.34119002077291705</v>
      </c>
      <c r="J460" t="str">
        <f t="shared" si="15"/>
        <v>Feb-2025</v>
      </c>
    </row>
    <row r="461" spans="1:10" x14ac:dyDescent="0.3">
      <c r="A461" s="4" t="s">
        <v>749</v>
      </c>
      <c r="B461" s="5" t="s">
        <v>149</v>
      </c>
      <c r="C461" s="4" t="s">
        <v>15</v>
      </c>
      <c r="D461" s="4" t="s">
        <v>46</v>
      </c>
      <c r="E461" s="4" t="s">
        <v>41</v>
      </c>
      <c r="F461" s="4">
        <v>1215.79</v>
      </c>
      <c r="G461" s="4">
        <v>317.93</v>
      </c>
      <c r="H461" s="4">
        <v>3</v>
      </c>
      <c r="I461" s="6">
        <f t="shared" si="14"/>
        <v>0.26150075259707684</v>
      </c>
      <c r="J461" t="str">
        <f t="shared" si="15"/>
        <v>Apr-2025</v>
      </c>
    </row>
    <row r="462" spans="1:10" x14ac:dyDescent="0.3">
      <c r="A462" s="4" t="s">
        <v>750</v>
      </c>
      <c r="B462" s="5" t="s">
        <v>182</v>
      </c>
      <c r="C462" s="4" t="s">
        <v>10</v>
      </c>
      <c r="D462" s="4" t="s">
        <v>95</v>
      </c>
      <c r="E462" s="4" t="s">
        <v>17</v>
      </c>
      <c r="F462" s="4">
        <v>1026.5899999999999</v>
      </c>
      <c r="G462" s="4">
        <v>297.49</v>
      </c>
      <c r="H462" s="4">
        <v>9</v>
      </c>
      <c r="I462" s="6">
        <f t="shared" si="14"/>
        <v>0.28978462677407729</v>
      </c>
      <c r="J462" t="str">
        <f t="shared" si="15"/>
        <v>Jul-2025</v>
      </c>
    </row>
    <row r="463" spans="1:10" x14ac:dyDescent="0.3">
      <c r="A463" s="4" t="s">
        <v>751</v>
      </c>
      <c r="B463" s="5" t="s">
        <v>752</v>
      </c>
      <c r="C463" s="4" t="s">
        <v>10</v>
      </c>
      <c r="D463" s="4" t="s">
        <v>20</v>
      </c>
      <c r="E463" s="4" t="s">
        <v>12</v>
      </c>
      <c r="F463" s="4">
        <v>1315.12</v>
      </c>
      <c r="G463" s="4">
        <v>240.77</v>
      </c>
      <c r="H463" s="4">
        <v>2</v>
      </c>
      <c r="I463" s="6">
        <f t="shared" si="14"/>
        <v>0.18307835026461466</v>
      </c>
      <c r="J463" t="str">
        <f t="shared" si="15"/>
        <v>Apr-2025</v>
      </c>
    </row>
    <row r="464" spans="1:10" x14ac:dyDescent="0.3">
      <c r="A464" s="4" t="s">
        <v>753</v>
      </c>
      <c r="B464" s="5" t="s">
        <v>754</v>
      </c>
      <c r="C464" s="4" t="s">
        <v>15</v>
      </c>
      <c r="D464" s="4" t="s">
        <v>37</v>
      </c>
      <c r="E464" s="4" t="s">
        <v>17</v>
      </c>
      <c r="F464" s="4">
        <v>371.94</v>
      </c>
      <c r="G464" s="4">
        <v>108.95</v>
      </c>
      <c r="H464" s="4">
        <v>4</v>
      </c>
      <c r="I464" s="6">
        <f t="shared" si="14"/>
        <v>0.29292358982631606</v>
      </c>
      <c r="J464" t="str">
        <f t="shared" si="15"/>
        <v>Jan-2025</v>
      </c>
    </row>
    <row r="465" spans="1:10" x14ac:dyDescent="0.3">
      <c r="A465" s="4" t="s">
        <v>755</v>
      </c>
      <c r="B465" s="5" t="s">
        <v>660</v>
      </c>
      <c r="C465" s="4" t="s">
        <v>34</v>
      </c>
      <c r="D465" s="4" t="s">
        <v>16</v>
      </c>
      <c r="E465" s="4" t="s">
        <v>17</v>
      </c>
      <c r="F465" s="4">
        <v>1377.2</v>
      </c>
      <c r="G465" s="4">
        <v>458.11</v>
      </c>
      <c r="H465" s="4">
        <v>6</v>
      </c>
      <c r="I465" s="6">
        <f t="shared" si="14"/>
        <v>0.33263868719140283</v>
      </c>
      <c r="J465" t="str">
        <f t="shared" si="15"/>
        <v>Apr-2025</v>
      </c>
    </row>
    <row r="466" spans="1:10" x14ac:dyDescent="0.3">
      <c r="A466" s="4" t="s">
        <v>756</v>
      </c>
      <c r="B466" s="5" t="s">
        <v>280</v>
      </c>
      <c r="C466" s="4" t="s">
        <v>24</v>
      </c>
      <c r="D466" s="4" t="s">
        <v>27</v>
      </c>
      <c r="E466" s="4" t="s">
        <v>12</v>
      </c>
      <c r="F466" s="4">
        <v>1687.5</v>
      </c>
      <c r="G466" s="4">
        <v>183.97</v>
      </c>
      <c r="H466" s="4">
        <v>10</v>
      </c>
      <c r="I466" s="6">
        <f t="shared" si="14"/>
        <v>0.10901925925925926</v>
      </c>
      <c r="J466" t="str">
        <f t="shared" si="15"/>
        <v>Sep-2025</v>
      </c>
    </row>
    <row r="467" spans="1:10" x14ac:dyDescent="0.3">
      <c r="A467" s="4" t="s">
        <v>757</v>
      </c>
      <c r="B467" s="5" t="s">
        <v>323</v>
      </c>
      <c r="C467" s="4" t="s">
        <v>24</v>
      </c>
      <c r="D467" s="4" t="s">
        <v>27</v>
      </c>
      <c r="E467" s="4" t="s">
        <v>12</v>
      </c>
      <c r="F467" s="4">
        <v>1174.8</v>
      </c>
      <c r="G467" s="4">
        <v>269.93</v>
      </c>
      <c r="H467" s="4">
        <v>7</v>
      </c>
      <c r="I467" s="6">
        <f t="shared" si="14"/>
        <v>0.22976676881171265</v>
      </c>
      <c r="J467" t="str">
        <f t="shared" si="15"/>
        <v>Mar-2025</v>
      </c>
    </row>
    <row r="468" spans="1:10" x14ac:dyDescent="0.3">
      <c r="A468" s="4" t="s">
        <v>758</v>
      </c>
      <c r="B468" s="5" t="s">
        <v>109</v>
      </c>
      <c r="C468" s="4" t="s">
        <v>15</v>
      </c>
      <c r="D468" s="4" t="s">
        <v>46</v>
      </c>
      <c r="E468" s="4" t="s">
        <v>41</v>
      </c>
      <c r="F468" s="4">
        <v>2466.34</v>
      </c>
      <c r="G468" s="4">
        <v>445.52</v>
      </c>
      <c r="H468" s="4">
        <v>3</v>
      </c>
      <c r="I468" s="6">
        <f t="shared" si="14"/>
        <v>0.18064013882919627</v>
      </c>
      <c r="J468" t="str">
        <f t="shared" si="15"/>
        <v>Sep-2025</v>
      </c>
    </row>
    <row r="469" spans="1:10" x14ac:dyDescent="0.3">
      <c r="A469" s="4" t="s">
        <v>759</v>
      </c>
      <c r="B469" s="5" t="s">
        <v>645</v>
      </c>
      <c r="C469" s="4" t="s">
        <v>10</v>
      </c>
      <c r="D469" s="4" t="s">
        <v>20</v>
      </c>
      <c r="E469" s="4" t="s">
        <v>12</v>
      </c>
      <c r="F469" s="4">
        <v>3666.1</v>
      </c>
      <c r="G469" s="4">
        <v>312.18</v>
      </c>
      <c r="H469" s="4">
        <v>1</v>
      </c>
      <c r="I469" s="6">
        <f t="shared" si="14"/>
        <v>8.5153160033823408E-2</v>
      </c>
      <c r="J469" t="str">
        <f t="shared" si="15"/>
        <v>Aug-2025</v>
      </c>
    </row>
    <row r="470" spans="1:10" x14ac:dyDescent="0.3">
      <c r="A470" s="4" t="s">
        <v>760</v>
      </c>
      <c r="B470" s="5" t="s">
        <v>761</v>
      </c>
      <c r="C470" s="4" t="s">
        <v>10</v>
      </c>
      <c r="D470" s="4" t="s">
        <v>20</v>
      </c>
      <c r="E470" s="4" t="s">
        <v>12</v>
      </c>
      <c r="F470" s="4">
        <v>4024.89</v>
      </c>
      <c r="G470" s="4">
        <v>1043.04</v>
      </c>
      <c r="H470" s="4">
        <v>7</v>
      </c>
      <c r="I470" s="6">
        <f t="shared" si="14"/>
        <v>0.25914745496150204</v>
      </c>
      <c r="J470" t="str">
        <f t="shared" si="15"/>
        <v>Dec-2025</v>
      </c>
    </row>
    <row r="471" spans="1:10" x14ac:dyDescent="0.3">
      <c r="A471" s="4" t="s">
        <v>762</v>
      </c>
      <c r="B471" s="5" t="s">
        <v>346</v>
      </c>
      <c r="C471" s="4" t="s">
        <v>34</v>
      </c>
      <c r="D471" s="4" t="s">
        <v>20</v>
      </c>
      <c r="E471" s="4" t="s">
        <v>12</v>
      </c>
      <c r="F471" s="4">
        <v>2006.2</v>
      </c>
      <c r="G471" s="4">
        <v>194.22</v>
      </c>
      <c r="H471" s="4">
        <v>2</v>
      </c>
      <c r="I471" s="6">
        <f t="shared" si="14"/>
        <v>9.6809889343036581E-2</v>
      </c>
      <c r="J471" t="str">
        <f t="shared" si="15"/>
        <v>Apr-2025</v>
      </c>
    </row>
    <row r="472" spans="1:10" x14ac:dyDescent="0.3">
      <c r="A472" s="4" t="s">
        <v>763</v>
      </c>
      <c r="B472" s="5" t="s">
        <v>764</v>
      </c>
      <c r="C472" s="4" t="s">
        <v>24</v>
      </c>
      <c r="D472" s="4" t="s">
        <v>95</v>
      </c>
      <c r="E472" s="4" t="s">
        <v>17</v>
      </c>
      <c r="F472" s="4">
        <v>150.9</v>
      </c>
      <c r="G472" s="4">
        <v>32.79</v>
      </c>
      <c r="H472" s="4">
        <v>9</v>
      </c>
      <c r="I472" s="6">
        <f t="shared" si="14"/>
        <v>0.21729622266401588</v>
      </c>
      <c r="J472" t="str">
        <f t="shared" si="15"/>
        <v>Dec-2025</v>
      </c>
    </row>
    <row r="473" spans="1:10" x14ac:dyDescent="0.3">
      <c r="A473" s="4" t="s">
        <v>765</v>
      </c>
      <c r="B473" s="5" t="s">
        <v>31</v>
      </c>
      <c r="C473" s="4" t="s">
        <v>24</v>
      </c>
      <c r="D473" s="4" t="s">
        <v>46</v>
      </c>
      <c r="E473" s="4" t="s">
        <v>41</v>
      </c>
      <c r="F473" s="4">
        <v>3009.68</v>
      </c>
      <c r="G473" s="4">
        <v>705.2</v>
      </c>
      <c r="H473" s="4">
        <v>10</v>
      </c>
      <c r="I473" s="6">
        <f t="shared" si="14"/>
        <v>0.23431062438531675</v>
      </c>
      <c r="J473" t="str">
        <f t="shared" si="15"/>
        <v>Nov-2025</v>
      </c>
    </row>
    <row r="474" spans="1:10" x14ac:dyDescent="0.3">
      <c r="A474" s="4" t="s">
        <v>766</v>
      </c>
      <c r="B474" s="5" t="s">
        <v>767</v>
      </c>
      <c r="C474" s="4" t="s">
        <v>34</v>
      </c>
      <c r="D474" s="4" t="s">
        <v>27</v>
      </c>
      <c r="E474" s="4" t="s">
        <v>12</v>
      </c>
      <c r="F474" s="4">
        <v>4430.92</v>
      </c>
      <c r="G474" s="4">
        <v>999.07</v>
      </c>
      <c r="H474" s="4">
        <v>10</v>
      </c>
      <c r="I474" s="6">
        <f t="shared" si="14"/>
        <v>0.22547687613407599</v>
      </c>
      <c r="J474" t="str">
        <f t="shared" si="15"/>
        <v>Nov-2025</v>
      </c>
    </row>
    <row r="475" spans="1:10" x14ac:dyDescent="0.3">
      <c r="A475" s="4" t="s">
        <v>768</v>
      </c>
      <c r="B475" s="5" t="s">
        <v>272</v>
      </c>
      <c r="C475" s="4" t="s">
        <v>15</v>
      </c>
      <c r="D475" s="4" t="s">
        <v>95</v>
      </c>
      <c r="E475" s="4" t="s">
        <v>17</v>
      </c>
      <c r="F475" s="4">
        <v>1136.77</v>
      </c>
      <c r="G475" s="4">
        <v>145.41999999999999</v>
      </c>
      <c r="H475" s="4">
        <v>6</v>
      </c>
      <c r="I475" s="6">
        <f t="shared" si="14"/>
        <v>0.12792385442965595</v>
      </c>
      <c r="J475" t="str">
        <f t="shared" si="15"/>
        <v>Dec-2025</v>
      </c>
    </row>
    <row r="476" spans="1:10" x14ac:dyDescent="0.3">
      <c r="A476" s="4" t="s">
        <v>769</v>
      </c>
      <c r="B476" s="5" t="s">
        <v>770</v>
      </c>
      <c r="C476" s="4" t="s">
        <v>15</v>
      </c>
      <c r="D476" s="4" t="s">
        <v>20</v>
      </c>
      <c r="E476" s="4" t="s">
        <v>12</v>
      </c>
      <c r="F476" s="4">
        <v>1367.71</v>
      </c>
      <c r="G476" s="4">
        <v>436.13</v>
      </c>
      <c r="H476" s="4">
        <v>4</v>
      </c>
      <c r="I476" s="6">
        <f t="shared" si="14"/>
        <v>0.31887607753105557</v>
      </c>
      <c r="J476" t="str">
        <f t="shared" si="15"/>
        <v>Oct-2025</v>
      </c>
    </row>
    <row r="477" spans="1:10" x14ac:dyDescent="0.3">
      <c r="A477" s="4" t="s">
        <v>771</v>
      </c>
      <c r="B477" s="5" t="s">
        <v>304</v>
      </c>
      <c r="C477" s="4" t="s">
        <v>10</v>
      </c>
      <c r="D477" s="4" t="s">
        <v>20</v>
      </c>
      <c r="E477" s="4" t="s">
        <v>12</v>
      </c>
      <c r="F477" s="4">
        <v>3371.14</v>
      </c>
      <c r="G477" s="4">
        <v>274.3</v>
      </c>
      <c r="H477" s="4">
        <v>9</v>
      </c>
      <c r="I477" s="6">
        <f t="shared" si="14"/>
        <v>8.1367133966551375E-2</v>
      </c>
      <c r="J477" t="str">
        <f t="shared" si="15"/>
        <v>Jul-2025</v>
      </c>
    </row>
    <row r="478" spans="1:10" x14ac:dyDescent="0.3">
      <c r="A478" s="4" t="s">
        <v>772</v>
      </c>
      <c r="B478" s="5" t="s">
        <v>588</v>
      </c>
      <c r="C478" s="4" t="s">
        <v>15</v>
      </c>
      <c r="D478" s="4" t="s">
        <v>20</v>
      </c>
      <c r="E478" s="4" t="s">
        <v>12</v>
      </c>
      <c r="F478" s="4">
        <v>3264.89</v>
      </c>
      <c r="G478" s="4">
        <v>715.43</v>
      </c>
      <c r="H478" s="4">
        <v>5</v>
      </c>
      <c r="I478" s="6">
        <f t="shared" si="14"/>
        <v>0.21912836267071784</v>
      </c>
      <c r="J478" t="str">
        <f t="shared" si="15"/>
        <v>Jun-2025</v>
      </c>
    </row>
    <row r="479" spans="1:10" x14ac:dyDescent="0.3">
      <c r="A479" s="4" t="s">
        <v>773</v>
      </c>
      <c r="B479" s="5" t="s">
        <v>103</v>
      </c>
      <c r="C479" s="4" t="s">
        <v>24</v>
      </c>
      <c r="D479" s="4" t="s">
        <v>37</v>
      </c>
      <c r="E479" s="4" t="s">
        <v>17</v>
      </c>
      <c r="F479" s="4">
        <v>3199.33</v>
      </c>
      <c r="G479" s="4">
        <v>170.47</v>
      </c>
      <c r="H479" s="4">
        <v>7</v>
      </c>
      <c r="I479" s="6">
        <f t="shared" si="14"/>
        <v>5.3283031134643818E-2</v>
      </c>
      <c r="J479" t="str">
        <f t="shared" si="15"/>
        <v>Jan-2025</v>
      </c>
    </row>
    <row r="480" spans="1:10" x14ac:dyDescent="0.3">
      <c r="A480" s="4" t="s">
        <v>774</v>
      </c>
      <c r="B480" s="5" t="s">
        <v>775</v>
      </c>
      <c r="C480" s="4" t="s">
        <v>24</v>
      </c>
      <c r="D480" s="4" t="s">
        <v>11</v>
      </c>
      <c r="E480" s="4" t="s">
        <v>12</v>
      </c>
      <c r="F480" s="4">
        <v>3203.46</v>
      </c>
      <c r="G480" s="4">
        <v>424.36</v>
      </c>
      <c r="H480" s="4">
        <v>3</v>
      </c>
      <c r="I480" s="6">
        <f t="shared" si="14"/>
        <v>0.13246926760440275</v>
      </c>
      <c r="J480" t="str">
        <f t="shared" si="15"/>
        <v>Oct-2025</v>
      </c>
    </row>
    <row r="481" spans="1:10" x14ac:dyDescent="0.3">
      <c r="A481" s="4" t="s">
        <v>776</v>
      </c>
      <c r="B481" s="5" t="s">
        <v>777</v>
      </c>
      <c r="C481" s="4" t="s">
        <v>24</v>
      </c>
      <c r="D481" s="4" t="s">
        <v>37</v>
      </c>
      <c r="E481" s="4" t="s">
        <v>17</v>
      </c>
      <c r="F481" s="4">
        <v>1561.11</v>
      </c>
      <c r="G481" s="4">
        <v>107.96</v>
      </c>
      <c r="H481" s="4">
        <v>1</v>
      </c>
      <c r="I481" s="6">
        <f t="shared" si="14"/>
        <v>6.9155921107417154E-2</v>
      </c>
      <c r="J481" t="str">
        <f t="shared" si="15"/>
        <v>Oct-2025</v>
      </c>
    </row>
    <row r="482" spans="1:10" x14ac:dyDescent="0.3">
      <c r="A482" s="4" t="s">
        <v>778</v>
      </c>
      <c r="B482" s="5" t="s">
        <v>140</v>
      </c>
      <c r="C482" s="4" t="s">
        <v>24</v>
      </c>
      <c r="D482" s="4" t="s">
        <v>40</v>
      </c>
      <c r="E482" s="4" t="s">
        <v>41</v>
      </c>
      <c r="F482" s="4">
        <v>3515.48</v>
      </c>
      <c r="G482" s="4">
        <v>1168.42</v>
      </c>
      <c r="H482" s="4">
        <v>5</v>
      </c>
      <c r="I482" s="6">
        <f t="shared" si="14"/>
        <v>0.3323642859581053</v>
      </c>
      <c r="J482" t="str">
        <f t="shared" si="15"/>
        <v>May-2025</v>
      </c>
    </row>
    <row r="483" spans="1:10" x14ac:dyDescent="0.3">
      <c r="A483" s="4" t="s">
        <v>779</v>
      </c>
      <c r="B483" s="5" t="s">
        <v>463</v>
      </c>
      <c r="C483" s="4" t="s">
        <v>24</v>
      </c>
      <c r="D483" s="4" t="s">
        <v>95</v>
      </c>
      <c r="E483" s="4" t="s">
        <v>17</v>
      </c>
      <c r="F483" s="4">
        <v>2516.3000000000002</v>
      </c>
      <c r="G483" s="4">
        <v>386</v>
      </c>
      <c r="H483" s="4">
        <v>7</v>
      </c>
      <c r="I483" s="6">
        <f t="shared" si="14"/>
        <v>0.15339983308826449</v>
      </c>
      <c r="J483" t="str">
        <f t="shared" si="15"/>
        <v>Oct-2025</v>
      </c>
    </row>
    <row r="484" spans="1:10" x14ac:dyDescent="0.3">
      <c r="A484" s="4" t="s">
        <v>780</v>
      </c>
      <c r="B484" s="5" t="s">
        <v>648</v>
      </c>
      <c r="C484" s="4" t="s">
        <v>24</v>
      </c>
      <c r="D484" s="4" t="s">
        <v>37</v>
      </c>
      <c r="E484" s="4" t="s">
        <v>17</v>
      </c>
      <c r="F484" s="4">
        <v>3968.32</v>
      </c>
      <c r="G484" s="4">
        <v>1159.73</v>
      </c>
      <c r="H484" s="4">
        <v>7</v>
      </c>
      <c r="I484" s="6">
        <f t="shared" si="14"/>
        <v>0.29224709700830576</v>
      </c>
      <c r="J484" t="str">
        <f t="shared" si="15"/>
        <v>Oct-2025</v>
      </c>
    </row>
    <row r="485" spans="1:10" x14ac:dyDescent="0.3">
      <c r="A485" s="4" t="s">
        <v>781</v>
      </c>
      <c r="B485" s="5" t="s">
        <v>782</v>
      </c>
      <c r="C485" s="4" t="s">
        <v>24</v>
      </c>
      <c r="D485" s="4" t="s">
        <v>46</v>
      </c>
      <c r="E485" s="4" t="s">
        <v>41</v>
      </c>
      <c r="F485" s="4">
        <v>2610.13</v>
      </c>
      <c r="G485" s="4">
        <v>559.37</v>
      </c>
      <c r="H485" s="4">
        <v>10</v>
      </c>
      <c r="I485" s="6">
        <f t="shared" si="14"/>
        <v>0.21430733335121238</v>
      </c>
      <c r="J485" t="str">
        <f t="shared" si="15"/>
        <v>Aug-2025</v>
      </c>
    </row>
    <row r="486" spans="1:10" x14ac:dyDescent="0.3">
      <c r="A486" s="4" t="s">
        <v>783</v>
      </c>
      <c r="B486" s="5" t="s">
        <v>239</v>
      </c>
      <c r="C486" s="4" t="s">
        <v>34</v>
      </c>
      <c r="D486" s="4" t="s">
        <v>11</v>
      </c>
      <c r="E486" s="4" t="s">
        <v>12</v>
      </c>
      <c r="F486" s="4">
        <v>4204.87</v>
      </c>
      <c r="G486" s="4">
        <v>709.33</v>
      </c>
      <c r="H486" s="4">
        <v>7</v>
      </c>
      <c r="I486" s="6">
        <f t="shared" si="14"/>
        <v>0.16869249227681238</v>
      </c>
      <c r="J486" t="str">
        <f t="shared" si="15"/>
        <v>Aug-2025</v>
      </c>
    </row>
    <row r="487" spans="1:10" x14ac:dyDescent="0.3">
      <c r="A487" s="4" t="s">
        <v>784</v>
      </c>
      <c r="B487" s="5" t="s">
        <v>559</v>
      </c>
      <c r="C487" s="4" t="s">
        <v>15</v>
      </c>
      <c r="D487" s="4" t="s">
        <v>46</v>
      </c>
      <c r="E487" s="4" t="s">
        <v>41</v>
      </c>
      <c r="F487" s="4">
        <v>1966.88</v>
      </c>
      <c r="G487" s="4">
        <v>107.66</v>
      </c>
      <c r="H487" s="4">
        <v>4</v>
      </c>
      <c r="I487" s="6">
        <f t="shared" si="14"/>
        <v>5.47364353697226E-2</v>
      </c>
      <c r="J487" t="str">
        <f t="shared" si="15"/>
        <v>Oct-2025</v>
      </c>
    </row>
    <row r="488" spans="1:10" x14ac:dyDescent="0.3">
      <c r="A488" s="4" t="s">
        <v>785</v>
      </c>
      <c r="B488" s="5" t="s">
        <v>786</v>
      </c>
      <c r="C488" s="4" t="s">
        <v>34</v>
      </c>
      <c r="D488" s="4" t="s">
        <v>37</v>
      </c>
      <c r="E488" s="4" t="s">
        <v>17</v>
      </c>
      <c r="F488" s="4">
        <v>2581.2399999999998</v>
      </c>
      <c r="G488" s="4">
        <v>291.45</v>
      </c>
      <c r="H488" s="4">
        <v>2</v>
      </c>
      <c r="I488" s="6">
        <f t="shared" si="14"/>
        <v>0.11291084904929415</v>
      </c>
      <c r="J488" t="str">
        <f t="shared" si="15"/>
        <v>Oct-2025</v>
      </c>
    </row>
    <row r="489" spans="1:10" x14ac:dyDescent="0.3">
      <c r="A489" s="4" t="s">
        <v>787</v>
      </c>
      <c r="B489" s="5" t="s">
        <v>671</v>
      </c>
      <c r="C489" s="4" t="s">
        <v>34</v>
      </c>
      <c r="D489" s="4" t="s">
        <v>16</v>
      </c>
      <c r="E489" s="4" t="s">
        <v>17</v>
      </c>
      <c r="F489" s="4">
        <v>3232.81</v>
      </c>
      <c r="G489" s="4">
        <v>1064.08</v>
      </c>
      <c r="H489" s="4">
        <v>8</v>
      </c>
      <c r="I489" s="6">
        <f t="shared" si="14"/>
        <v>0.32915018203977342</v>
      </c>
      <c r="J489" t="str">
        <f t="shared" si="15"/>
        <v>Apr-2025</v>
      </c>
    </row>
    <row r="490" spans="1:10" x14ac:dyDescent="0.3">
      <c r="A490" s="4" t="s">
        <v>788</v>
      </c>
      <c r="B490" s="5" t="s">
        <v>186</v>
      </c>
      <c r="C490" s="4" t="s">
        <v>34</v>
      </c>
      <c r="D490" s="4" t="s">
        <v>27</v>
      </c>
      <c r="E490" s="4" t="s">
        <v>12</v>
      </c>
      <c r="F490" s="4">
        <v>2826.69</v>
      </c>
      <c r="G490" s="4">
        <v>748.7</v>
      </c>
      <c r="H490" s="4">
        <v>5</v>
      </c>
      <c r="I490" s="6">
        <f t="shared" si="14"/>
        <v>0.26486809660769312</v>
      </c>
      <c r="J490" t="str">
        <f t="shared" si="15"/>
        <v>Aug-2025</v>
      </c>
    </row>
    <row r="491" spans="1:10" x14ac:dyDescent="0.3">
      <c r="A491" s="4" t="s">
        <v>789</v>
      </c>
      <c r="B491" s="5" t="s">
        <v>127</v>
      </c>
      <c r="C491" s="4" t="s">
        <v>10</v>
      </c>
      <c r="D491" s="4" t="s">
        <v>46</v>
      </c>
      <c r="E491" s="4" t="s">
        <v>41</v>
      </c>
      <c r="F491" s="4">
        <v>4934.3999999999996</v>
      </c>
      <c r="G491" s="4">
        <v>1107.1600000000001</v>
      </c>
      <c r="H491" s="4">
        <v>5</v>
      </c>
      <c r="I491" s="6">
        <f t="shared" si="14"/>
        <v>0.2243758106355383</v>
      </c>
      <c r="J491" t="str">
        <f t="shared" si="15"/>
        <v>Jun-2025</v>
      </c>
    </row>
    <row r="492" spans="1:10" x14ac:dyDescent="0.3">
      <c r="A492" s="4" t="s">
        <v>790</v>
      </c>
      <c r="B492" s="5" t="s">
        <v>588</v>
      </c>
      <c r="C492" s="4" t="s">
        <v>10</v>
      </c>
      <c r="D492" s="4" t="s">
        <v>20</v>
      </c>
      <c r="E492" s="4" t="s">
        <v>12</v>
      </c>
      <c r="F492" s="4">
        <v>3758.41</v>
      </c>
      <c r="G492" s="4">
        <v>552.6</v>
      </c>
      <c r="H492" s="4">
        <v>3</v>
      </c>
      <c r="I492" s="6">
        <f t="shared" si="14"/>
        <v>0.14703026013660034</v>
      </c>
      <c r="J492" t="str">
        <f t="shared" si="15"/>
        <v>Jun-2025</v>
      </c>
    </row>
    <row r="493" spans="1:10" x14ac:dyDescent="0.3">
      <c r="A493" s="4" t="s">
        <v>791</v>
      </c>
      <c r="B493" s="5" t="s">
        <v>698</v>
      </c>
      <c r="C493" s="4" t="s">
        <v>24</v>
      </c>
      <c r="D493" s="4" t="s">
        <v>40</v>
      </c>
      <c r="E493" s="4" t="s">
        <v>41</v>
      </c>
      <c r="F493" s="4">
        <v>3972.28</v>
      </c>
      <c r="G493" s="4">
        <v>1075.1600000000001</v>
      </c>
      <c r="H493" s="4">
        <v>1</v>
      </c>
      <c r="I493" s="6">
        <f t="shared" si="14"/>
        <v>0.27066571339381917</v>
      </c>
      <c r="J493" t="str">
        <f t="shared" si="15"/>
        <v>Jan-2025</v>
      </c>
    </row>
    <row r="494" spans="1:10" x14ac:dyDescent="0.3">
      <c r="A494" s="4" t="s">
        <v>792</v>
      </c>
      <c r="B494" s="5" t="s">
        <v>542</v>
      </c>
      <c r="C494" s="4" t="s">
        <v>34</v>
      </c>
      <c r="D494" s="4" t="s">
        <v>40</v>
      </c>
      <c r="E494" s="4" t="s">
        <v>41</v>
      </c>
      <c r="F494" s="4">
        <v>3603.48</v>
      </c>
      <c r="G494" s="4">
        <v>1142.6300000000001</v>
      </c>
      <c r="H494" s="4">
        <v>7</v>
      </c>
      <c r="I494" s="6">
        <f t="shared" si="14"/>
        <v>0.3170907012110516</v>
      </c>
      <c r="J494" t="str">
        <f t="shared" si="15"/>
        <v>Aug-2025</v>
      </c>
    </row>
    <row r="495" spans="1:10" x14ac:dyDescent="0.3">
      <c r="A495" s="4" t="s">
        <v>793</v>
      </c>
      <c r="B495" s="5" t="s">
        <v>794</v>
      </c>
      <c r="C495" s="4" t="s">
        <v>15</v>
      </c>
      <c r="D495" s="4" t="s">
        <v>37</v>
      </c>
      <c r="E495" s="4" t="s">
        <v>17</v>
      </c>
      <c r="F495" s="4">
        <v>4408.45</v>
      </c>
      <c r="G495" s="4">
        <v>717.42</v>
      </c>
      <c r="H495" s="4">
        <v>6</v>
      </c>
      <c r="I495" s="6">
        <f t="shared" si="14"/>
        <v>0.16273747008585784</v>
      </c>
      <c r="J495" t="str">
        <f t="shared" si="15"/>
        <v>Mar-2025</v>
      </c>
    </row>
    <row r="496" spans="1:10" x14ac:dyDescent="0.3">
      <c r="A496" s="4" t="s">
        <v>795</v>
      </c>
      <c r="B496" s="5" t="s">
        <v>329</v>
      </c>
      <c r="C496" s="4" t="s">
        <v>10</v>
      </c>
      <c r="D496" s="4" t="s">
        <v>27</v>
      </c>
      <c r="E496" s="4" t="s">
        <v>12</v>
      </c>
      <c r="F496" s="4">
        <v>4817.87</v>
      </c>
      <c r="G496" s="4">
        <v>300.60000000000002</v>
      </c>
      <c r="H496" s="4">
        <v>1</v>
      </c>
      <c r="I496" s="6">
        <f t="shared" si="14"/>
        <v>6.2392717113579244E-2</v>
      </c>
      <c r="J496" t="str">
        <f t="shared" si="15"/>
        <v>Jan-2025</v>
      </c>
    </row>
    <row r="497" spans="1:10" x14ac:dyDescent="0.3">
      <c r="A497" s="4" t="s">
        <v>796</v>
      </c>
      <c r="B497" s="5" t="s">
        <v>797</v>
      </c>
      <c r="C497" s="4" t="s">
        <v>24</v>
      </c>
      <c r="D497" s="4" t="s">
        <v>46</v>
      </c>
      <c r="E497" s="4" t="s">
        <v>41</v>
      </c>
      <c r="F497" s="4">
        <v>3254.59</v>
      </c>
      <c r="G497" s="4">
        <v>278.77</v>
      </c>
      <c r="H497" s="4">
        <v>2</v>
      </c>
      <c r="I497" s="6">
        <f t="shared" si="14"/>
        <v>8.5654414227291295E-2</v>
      </c>
      <c r="J497" t="str">
        <f t="shared" si="15"/>
        <v>May-2025</v>
      </c>
    </row>
    <row r="498" spans="1:10" x14ac:dyDescent="0.3">
      <c r="A498" s="4" t="s">
        <v>798</v>
      </c>
      <c r="B498" s="5" t="s">
        <v>342</v>
      </c>
      <c r="C498" s="4" t="s">
        <v>15</v>
      </c>
      <c r="D498" s="4" t="s">
        <v>20</v>
      </c>
      <c r="E498" s="4" t="s">
        <v>12</v>
      </c>
      <c r="F498" s="4">
        <v>2215.12</v>
      </c>
      <c r="G498" s="4">
        <v>772.41</v>
      </c>
      <c r="H498" s="4">
        <v>6</v>
      </c>
      <c r="I498" s="6">
        <f t="shared" si="14"/>
        <v>0.3486989418180505</v>
      </c>
      <c r="J498" t="str">
        <f t="shared" si="15"/>
        <v>Mar-2025</v>
      </c>
    </row>
    <row r="499" spans="1:10" x14ac:dyDescent="0.3">
      <c r="A499" s="4" t="s">
        <v>799</v>
      </c>
      <c r="B499" s="5" t="s">
        <v>800</v>
      </c>
      <c r="C499" s="4" t="s">
        <v>24</v>
      </c>
      <c r="D499" s="4" t="s">
        <v>20</v>
      </c>
      <c r="E499" s="4" t="s">
        <v>12</v>
      </c>
      <c r="F499" s="4">
        <v>593.92999999999995</v>
      </c>
      <c r="G499" s="4">
        <v>52.55</v>
      </c>
      <c r="H499" s="4">
        <v>4</v>
      </c>
      <c r="I499" s="6">
        <f t="shared" si="14"/>
        <v>8.847844022022798E-2</v>
      </c>
      <c r="J499" t="str">
        <f t="shared" si="15"/>
        <v>Aug-2025</v>
      </c>
    </row>
    <row r="500" spans="1:10" x14ac:dyDescent="0.3">
      <c r="A500" s="4" t="s">
        <v>801</v>
      </c>
      <c r="B500" s="5" t="s">
        <v>579</v>
      </c>
      <c r="C500" s="4" t="s">
        <v>10</v>
      </c>
      <c r="D500" s="4" t="s">
        <v>16</v>
      </c>
      <c r="E500" s="4" t="s">
        <v>17</v>
      </c>
      <c r="F500" s="4">
        <v>1850.85</v>
      </c>
      <c r="G500" s="4">
        <v>134.16999999999999</v>
      </c>
      <c r="H500" s="4">
        <v>9</v>
      </c>
      <c r="I500" s="6">
        <f t="shared" si="14"/>
        <v>7.2491017640543526E-2</v>
      </c>
      <c r="J500" t="str">
        <f t="shared" si="15"/>
        <v>Feb-2025</v>
      </c>
    </row>
    <row r="501" spans="1:10" x14ac:dyDescent="0.3">
      <c r="A501" s="4" t="s">
        <v>802</v>
      </c>
      <c r="B501" s="5" t="s">
        <v>344</v>
      </c>
      <c r="C501" s="4" t="s">
        <v>34</v>
      </c>
      <c r="D501" s="4" t="s">
        <v>37</v>
      </c>
      <c r="E501" s="4" t="s">
        <v>17</v>
      </c>
      <c r="F501" s="4">
        <v>487.39</v>
      </c>
      <c r="G501" s="4">
        <v>91.42</v>
      </c>
      <c r="H501" s="4">
        <v>10</v>
      </c>
      <c r="I501" s="6">
        <f t="shared" si="14"/>
        <v>0.18757052873468885</v>
      </c>
      <c r="J501" t="str">
        <f t="shared" si="15"/>
        <v>Apr-2025</v>
      </c>
    </row>
  </sheetData>
  <autoFilter ref="A1:H50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Piovt-1</vt:lpstr>
      <vt:lpstr>Pivot-2</vt:lpstr>
      <vt:lpstr>Pivot-3</vt:lpstr>
      <vt:lpstr>SalesData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Tulsi</cp:lastModifiedBy>
  <dcterms:created xsi:type="dcterms:W3CDTF">2026-07-22T20:48:23Z</dcterms:created>
  <dcterms:modified xsi:type="dcterms:W3CDTF">2026-07-22T22:13:00Z</dcterms:modified>
</cp:coreProperties>
</file>